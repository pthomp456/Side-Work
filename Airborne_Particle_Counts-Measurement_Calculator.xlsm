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41C336F-2ECF-480D-A5D6-CDD3A4650E1A}" xr6:coauthVersionLast="47" xr6:coauthVersionMax="47" xr10:uidLastSave="{00000000-0000-0000-0000-000000000000}"/>
  <bookViews>
    <workbookView xWindow="3900" yWindow="0" windowWidth="38700" windowHeight="20985" xr2:uid="{00000000-000D-0000-FFFF-FFFF00000000}"/>
  </bookViews>
  <sheets>
    <sheet name="Instructions" sheetId="2" r:id="rId1"/>
    <sheet name="CleanroomData" sheetId="3" r:id="rId2"/>
    <sheet name="AirborneCounts" sheetId="4" r:id="rId3"/>
    <sheet name="CalcData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 a="1"/>
  <c r="D6" i="4" s="1"/>
  <c r="L31" i="4"/>
  <c r="R31" i="4"/>
  <c r="X31" i="4"/>
  <c r="AD31" i="4"/>
  <c r="AJ31" i="4"/>
  <c r="AP31" i="4"/>
  <c r="J32" i="4"/>
  <c r="P32" i="4"/>
  <c r="V32" i="4"/>
  <c r="AB32" i="4"/>
  <c r="AH32" i="4"/>
  <c r="AN32" i="4"/>
  <c r="J33" i="4"/>
  <c r="P33" i="4"/>
  <c r="V33" i="4"/>
  <c r="AB33" i="4"/>
  <c r="AH33" i="4"/>
  <c r="AN33" i="4"/>
  <c r="J34" i="4"/>
  <c r="P34" i="4"/>
  <c r="V34" i="4"/>
  <c r="AB34" i="4"/>
  <c r="AH34" i="4"/>
  <c r="AN34" i="4"/>
  <c r="J35" i="4"/>
  <c r="P35" i="4"/>
  <c r="V35" i="4"/>
  <c r="AB35" i="4"/>
  <c r="AH35" i="4"/>
  <c r="AN35" i="4"/>
  <c r="J36" i="4"/>
  <c r="P36" i="4"/>
  <c r="V36" i="4"/>
  <c r="AB36" i="4"/>
  <c r="AH36" i="4"/>
  <c r="AN36" i="4"/>
  <c r="J37" i="4"/>
  <c r="P37" i="4"/>
  <c r="V37" i="4"/>
  <c r="AB37" i="4"/>
  <c r="AH37" i="4"/>
  <c r="AN37" i="4"/>
  <c r="B6" i="3" a="1"/>
  <c r="B6" i="3" s="1"/>
  <c r="B17" i="3"/>
  <c r="B19" i="3"/>
  <c r="A1" i="4" s="1"/>
  <c r="B6" i="4" l="1"/>
  <c r="L36" i="4"/>
  <c r="AD36" i="4"/>
  <c r="AD37" i="4"/>
  <c r="AD34" i="4"/>
  <c r="L33" i="4"/>
  <c r="A5" i="4"/>
  <c r="L37" i="4"/>
  <c r="AD35" i="4"/>
  <c r="L34" i="4"/>
  <c r="AD32" i="4"/>
  <c r="C6" i="4"/>
  <c r="L35" i="4"/>
  <c r="AD33" i="4"/>
  <c r="L32" i="4"/>
  <c r="G6" i="4"/>
  <c r="X37" i="4"/>
  <c r="AP36" i="4"/>
  <c r="AP35" i="4"/>
  <c r="AP34" i="4"/>
  <c r="AP33" i="4"/>
  <c r="X32" i="4"/>
  <c r="E6" i="4"/>
  <c r="AP37" i="4"/>
  <c r="X36" i="4"/>
  <c r="X35" i="4"/>
  <c r="X34" i="4"/>
  <c r="X33" i="4"/>
  <c r="AP32" i="4"/>
  <c r="F6" i="4"/>
  <c r="AJ37" i="4"/>
  <c r="R37" i="4"/>
  <c r="AJ36" i="4"/>
  <c r="R36" i="4"/>
  <c r="AJ35" i="4"/>
  <c r="R35" i="4"/>
  <c r="AJ34" i="4"/>
  <c r="R34" i="4"/>
  <c r="AJ33" i="4"/>
  <c r="R33" i="4"/>
  <c r="AJ32" i="4"/>
  <c r="R32" i="4"/>
  <c r="B8" i="4" l="1"/>
  <c r="AO32" i="4" s="1"/>
  <c r="AQ32" i="4" s="1"/>
  <c r="AC33" i="4" l="1"/>
  <c r="AE33" i="4" s="1"/>
  <c r="Q32" i="4"/>
  <c r="S32" i="4" s="1"/>
  <c r="AC35" i="4"/>
  <c r="AE35" i="4" s="1"/>
  <c r="K35" i="4"/>
  <c r="M35" i="4" s="1"/>
  <c r="AC37" i="4"/>
  <c r="AE37" i="4" s="1"/>
  <c r="W32" i="4"/>
  <c r="Y32" i="4" s="1"/>
  <c r="AH31" i="4"/>
  <c r="K34" i="4"/>
  <c r="M34" i="4" s="1"/>
  <c r="AO33" i="4"/>
  <c r="AQ33" i="4" s="1"/>
  <c r="AI37" i="4"/>
  <c r="AK37" i="4" s="1"/>
  <c r="Q37" i="4"/>
  <c r="S37" i="4" s="1"/>
  <c r="AI36" i="4"/>
  <c r="AK36" i="4" s="1"/>
  <c r="K36" i="4"/>
  <c r="M36" i="4" s="1"/>
  <c r="AB31" i="4"/>
  <c r="W34" i="4"/>
  <c r="Y34" i="4" s="1"/>
  <c r="AC34" i="4"/>
  <c r="AE34" i="4" s="1"/>
  <c r="P31" i="4"/>
  <c r="K33" i="4"/>
  <c r="M33" i="4" s="1"/>
  <c r="Q36" i="4"/>
  <c r="S36" i="4" s="1"/>
  <c r="AN31" i="4"/>
  <c r="AC32" i="4"/>
  <c r="AE32" i="4" s="1"/>
  <c r="AI35" i="4"/>
  <c r="AK35" i="4" s="1"/>
  <c r="W37" i="4"/>
  <c r="Y37" i="4" s="1"/>
  <c r="K32" i="4"/>
  <c r="M32" i="4" s="1"/>
  <c r="Q35" i="4"/>
  <c r="S35" i="4" s="1"/>
  <c r="W36" i="4"/>
  <c r="Y36" i="4" s="1"/>
  <c r="J31" i="4"/>
  <c r="AI34" i="4"/>
  <c r="AK34" i="4" s="1"/>
  <c r="W35" i="4"/>
  <c r="Y35" i="4" s="1"/>
  <c r="B9" i="4"/>
  <c r="Q34" i="4"/>
  <c r="S34" i="4" s="1"/>
  <c r="AO34" i="4"/>
  <c r="AQ34" i="4" s="1"/>
  <c r="V31" i="4"/>
  <c r="AO37" i="4"/>
  <c r="AQ37" i="4" s="1"/>
  <c r="AI33" i="4"/>
  <c r="AK33" i="4" s="1"/>
  <c r="K37" i="4"/>
  <c r="M37" i="4" s="1"/>
  <c r="AO36" i="4"/>
  <c r="AQ36" i="4" s="1"/>
  <c r="Q33" i="4"/>
  <c r="S33" i="4" s="1"/>
  <c r="W33" i="4"/>
  <c r="Y33" i="4" s="1"/>
  <c r="AC36" i="4"/>
  <c r="AE36" i="4" s="1"/>
  <c r="AO35" i="4"/>
  <c r="AQ35" i="4" s="1"/>
  <c r="AI32" i="4"/>
  <c r="AK3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<sst xmlns="http://schemas.openxmlformats.org/spreadsheetml/2006/main" count="129" uniqueCount="94">
  <si>
    <r>
      <t xml:space="preserve">Record data in the "Recorded Airborne Particle Counts" table in the </t>
    </r>
    <r>
      <rPr>
        <sz val="11"/>
        <color rgb="FF00B050"/>
        <rFont val="Calibri"/>
        <family val="2"/>
      </rPr>
      <t>AirborneCounts</t>
    </r>
    <r>
      <rPr>
        <sz val="11"/>
        <color theme="1"/>
        <rFont val="Calibri"/>
        <family val="2"/>
      </rPr>
      <t xml:space="preserve"> tab while testing</t>
    </r>
  </si>
  <si>
    <t>5)</t>
  </si>
  <si>
    <t>Begin particle counting in the designated testing locations</t>
  </si>
  <si>
    <t>4)</t>
  </si>
  <si>
    <r>
      <t xml:space="preserve">• If testing to a different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 xml:space="preserve">s </t>
    </r>
    <r>
      <rPr>
        <sz val="11"/>
        <color theme="1"/>
        <rFont val="Calibri"/>
        <family val="2"/>
        <scheme val="minor"/>
      </rPr>
      <t xml:space="preserve"> or any special criteria, record changes in the 'Additional
            Testing Notes' section in the </t>
    </r>
    <r>
      <rPr>
        <sz val="11"/>
        <color rgb="FF00B050"/>
        <rFont val="Calibri"/>
        <family val="2"/>
        <scheme val="minor"/>
      </rPr>
      <t>AirborneCounts</t>
    </r>
    <r>
      <rPr>
        <sz val="11"/>
        <color theme="1"/>
        <rFont val="Calibri"/>
        <family val="2"/>
        <scheme val="minor"/>
      </rPr>
      <t xml:space="preserve"> tab</t>
    </r>
  </si>
  <si>
    <t>At each location, position the particle counter probe in the plane of the work activity or another specified point</t>
  </si>
  <si>
    <t>3)</t>
  </si>
  <si>
    <t>• Though this workbook can be used for every ISO Class, it is recommended to perform 
            a Sequential Sampling Procedure (Annex D) for ISO Classes 1-4 due to limitations 
            from their largest particle sizes</t>
  </si>
  <si>
    <r>
      <t xml:space="preserve">•Sample Volume for each location </t>
    </r>
    <r>
      <rPr>
        <b/>
        <u/>
        <sz val="11"/>
        <color theme="1"/>
        <rFont val="Calibri"/>
        <family val="2"/>
        <scheme val="minor"/>
      </rPr>
      <t>MUST BE AT LEAST 2L</t>
    </r>
    <r>
      <rPr>
        <sz val="11"/>
        <color theme="1"/>
        <rFont val="Calibri"/>
        <family val="2"/>
        <scheme val="minor"/>
      </rPr>
      <t xml:space="preserve">, for </t>
    </r>
    <r>
      <rPr>
        <b/>
        <u/>
        <sz val="11"/>
        <color theme="1"/>
        <rFont val="Calibri"/>
        <family val="2"/>
        <scheme val="minor"/>
      </rPr>
      <t>AT LEAST 1min</t>
    </r>
    <r>
      <rPr>
        <sz val="11"/>
        <color theme="1"/>
        <rFont val="Calibri"/>
        <family val="2"/>
        <scheme val="minor"/>
      </rPr>
      <t xml:space="preserve"> (see A.4.4)</t>
    </r>
  </si>
  <si>
    <r>
      <t>• Press the "Re-Populate Sample Entries</t>
    </r>
    <r>
      <rPr>
        <i/>
        <sz val="11"/>
        <color theme="1"/>
        <rFont val="Calibri"/>
        <family val="2"/>
        <scheme val="minor"/>
      </rPr>
      <t xml:space="preserve"> N</t>
    </r>
    <r>
      <rPr>
        <i/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" button to add or take away sample entries</t>
    </r>
  </si>
  <si>
    <t>IMPORTANT:</t>
  </si>
  <si>
    <r>
      <t xml:space="preserve">-(ex. ISO Class 6, sizes 0.1µm-1µm: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would be 2.4 L)</t>
    </r>
  </si>
  <si>
    <r>
      <t xml:space="preserve">• If only testing a specific class range, your min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would change to the next highest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</si>
  <si>
    <r>
      <t xml:space="preserve">In the </t>
    </r>
    <r>
      <rPr>
        <sz val="11"/>
        <color rgb="FF00B050"/>
        <rFont val="Calibri"/>
        <family val="2"/>
        <scheme val="minor"/>
      </rPr>
      <t>AirborneCounts</t>
    </r>
    <r>
      <rPr>
        <sz val="11"/>
        <color theme="1"/>
        <rFont val="Calibri"/>
        <family val="2"/>
        <scheme val="minor"/>
      </rPr>
      <t xml:space="preserve"> tab, enter the ISO Class to calculate the minimum required Sampling Volume 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</si>
  <si>
    <t>2)</t>
  </si>
  <si>
    <r>
      <t xml:space="preserve">• If particle counter measures at a rate other than 2.83 L/min, modify the value in cell </t>
    </r>
    <r>
      <rPr>
        <i/>
        <sz val="11"/>
        <color theme="1"/>
        <rFont val="Calibri"/>
        <family val="2"/>
        <scheme val="minor"/>
      </rPr>
      <t>B10</t>
    </r>
  </si>
  <si>
    <t>• Select within each section a sampling location considered to be representative of the characteristics of the section</t>
  </si>
  <si>
    <r>
      <t xml:space="preserve">• Given the sampling number </t>
    </r>
    <r>
      <rPr>
        <i/>
        <sz val="11"/>
        <color theme="1"/>
        <rFont val="Calibri"/>
        <family val="2"/>
        <scheme val="minor"/>
      </rPr>
      <t>N</t>
    </r>
    <r>
      <rPr>
        <i/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 xml:space="preserve">, divide the cleanroom into </t>
    </r>
    <r>
      <rPr>
        <i/>
        <sz val="11"/>
        <color theme="1"/>
        <rFont val="Calibri"/>
        <family val="2"/>
        <scheme val="minor"/>
      </rPr>
      <t>N</t>
    </r>
    <r>
      <rPr>
        <i/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sections of equal area</t>
    </r>
  </si>
  <si>
    <r>
      <t xml:space="preserve">In the </t>
    </r>
    <r>
      <rPr>
        <sz val="11"/>
        <color rgb="FFFF0000"/>
        <rFont val="Calibri"/>
        <family val="2"/>
        <scheme val="minor"/>
      </rPr>
      <t>CleanroomData</t>
    </r>
    <r>
      <rPr>
        <sz val="11"/>
        <color theme="1"/>
        <rFont val="Calibri"/>
        <family val="2"/>
        <scheme val="minor"/>
      </rPr>
      <t xml:space="preserve"> tab, select the ISO Class and enter the cleanroom's length and width (m)</t>
    </r>
  </si>
  <si>
    <t>1)</t>
  </si>
  <si>
    <t>*NOTE* All data is to be entered in Yellow Highlighted Boxes</t>
  </si>
  <si>
    <t>Instructions:</t>
  </si>
  <si>
    <t xml:space="preserve">       standards.</t>
  </si>
  <si>
    <t>• The purpose of this workbook is to ensure the airborne particle contamination level of the cleanroom conforms to</t>
  </si>
  <si>
    <t>Purpose:</t>
  </si>
  <si>
    <r>
      <t xml:space="preserve">Minimum Number of Sampling Locations for Testing </t>
    </r>
    <r>
      <rPr>
        <i/>
        <sz val="11"/>
        <color rgb="FFFF0000"/>
        <rFont val="Calibri"/>
        <family val="2"/>
        <scheme val="minor"/>
      </rPr>
      <t>N</t>
    </r>
    <r>
      <rPr>
        <i/>
        <vertAlign val="subscript"/>
        <sz val="11"/>
        <color rgb="FFFF0000"/>
        <rFont val="Calibri"/>
        <family val="2"/>
        <scheme val="minor"/>
      </rPr>
      <t>L</t>
    </r>
  </si>
  <si>
    <r>
      <t>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</si>
  <si>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Width (m)</t>
  </si>
  <si>
    <t>Length (m)</t>
  </si>
  <si>
    <t>Cleanroom Dimensions</t>
  </si>
  <si>
    <t>Flow Rate</t>
  </si>
  <si>
    <t>Gauge ID</t>
  </si>
  <si>
    <t>Tool used</t>
  </si>
  <si>
    <t>Clean23.</t>
  </si>
  <si>
    <t>"As Operational"</t>
  </si>
  <si>
    <t>Occupancy state</t>
  </si>
  <si>
    <t>Test Equipment</t>
  </si>
  <si>
    <t>Password for Sheets:</t>
  </si>
  <si>
    <t>ISO Class Specification</t>
  </si>
  <si>
    <t>ISO 14644-1:2015</t>
  </si>
  <si>
    <t>Standard</t>
  </si>
  <si>
    <t>Location</t>
  </si>
  <si>
    <t>ISO Class 7</t>
  </si>
  <si>
    <t>ISO Class</t>
  </si>
  <si>
    <t>Reference</t>
  </si>
  <si>
    <t>Classification of Air Cleanliness by Particle Concentration</t>
  </si>
  <si>
    <t>Pass/fail</t>
  </si>
  <si>
    <r>
      <t>Location Concentration Average (counts per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</si>
  <si>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Sampling Location</t>
  </si>
  <si>
    <t xml:space="preserve">                                      Validation of Results                                                                                                    Validation of Results                                                                                                    Validation of Results                                                                                                    Validation of Results                                                                                                      Validation of Results                                                                                                  Validation of Results</t>
  </si>
  <si>
    <t>Number of particles (5µm)</t>
  </si>
  <si>
    <t>Number of particles (1µm)</t>
  </si>
  <si>
    <t>Number of particles (0.5µm)</t>
  </si>
  <si>
    <t>Number of particles (0.3µm)</t>
  </si>
  <si>
    <t>Number of particles (0.2µm)</t>
  </si>
  <si>
    <t>Number of particles (0.1µm)</t>
  </si>
  <si>
    <t>Sampling location</t>
  </si>
  <si>
    <t>Recorded Airborne Particle Counts</t>
  </si>
  <si>
    <t>Sampling Time</t>
  </si>
  <si>
    <t>Sampling volume</t>
  </si>
  <si>
    <t>Additional Testing Notes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</si>
  <si>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(minimum)</t>
    </r>
  </si>
  <si>
    <t>5µm(Counts per m³)</t>
  </si>
  <si>
    <t>1µm (Counts per m³)</t>
  </si>
  <si>
    <t>0.5µm (Counts per m³)</t>
  </si>
  <si>
    <t>0.3µm (Counts per m³)</t>
  </si>
  <si>
    <t>0.2µm (Counts per m³)</t>
  </si>
  <si>
    <t>0.1µm (Counts per m³)</t>
  </si>
  <si>
    <t>See Formula (A.1)</t>
  </si>
  <si>
    <t>&gt;1000</t>
  </si>
  <si>
    <t>0.5µm, 1µm, 5µm</t>
  </si>
  <si>
    <t>ISO Class 9</t>
  </si>
  <si>
    <t>ISO Class 8</t>
  </si>
  <si>
    <t>0.1µm, 0.2µm, 0.3µm, 0.5µm, 1µm, 5µm</t>
  </si>
  <si>
    <t>ISO Class 6</t>
  </si>
  <si>
    <t>0.1µm, 0.2µm, 0.3µm, 0.5µm, 1µm</t>
  </si>
  <si>
    <t>ISO Class 5</t>
  </si>
  <si>
    <t>ISO Class 4</t>
  </si>
  <si>
    <t>0.1µm, 0.2µm, 0.3µm, 0.5µm</t>
  </si>
  <si>
    <t>ISO Class 3</t>
  </si>
  <si>
    <t>0.1µm, 0.2µm, 0.3µm</t>
  </si>
  <si>
    <t>ISO Class 2</t>
  </si>
  <si>
    <t>0.1µm</t>
  </si>
  <si>
    <t>ISO Class 1</t>
  </si>
  <si>
    <t>Sizes</t>
  </si>
  <si>
    <t>Class</t>
  </si>
  <si>
    <t>0-2</t>
  </si>
  <si>
    <t>ISO CLASS</t>
  </si>
  <si>
    <t>Min # of sampling locations</t>
  </si>
  <si>
    <t>Area of cleanroom (m2) less than or equal to</t>
  </si>
  <si>
    <t>Gage ID:</t>
  </si>
  <si>
    <t xml:space="preserve">xxxxx Cleanroom </t>
  </si>
  <si>
    <t>xxxxx particle counter</t>
  </si>
  <si>
    <t xml:space="preserve">       the ISO xxxxxx Standard. Verification checks should be performed at least once a year, or per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</si>
</sst>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\ &quot;particles/ cubic m&quot;"/>
    <numFmt numFmtId="165" formatCode="0.00\ &quot;sq m&quot;"/>
    <numFmt numFmtId="166" formatCode="0.00\ &quot;sq ft&quot;"/>
    <numFmt numFmtId="167" formatCode="0.00\ &quot;L/min&quot;"/>
    <numFmt numFmtId="168" formatCode="0\ &quot;litres&quot;"/>
    <numFmt numFmtId="169" formatCode="0.00\ &quot;litres&quot;"/>
    <numFmt numFmtId="170" formatCode="0\ &quot;L&quot;"/>
    <numFmt numFmtId="171" formatCode="0\ &quot;min&quot;"/>
    <numFmt numFmtId="172" formatCode="0.00\ &quot;L&quot;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B050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vertAlign val="subscript"/>
      <sz val="11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rgb="FFFF0000"/>
      <name val="Arial Nova Cond"/>
      <family val="2"/>
    </font>
    <font>
      <b/>
      <sz val="11"/>
      <color theme="1"/>
      <name val="Arial Nova Cond"/>
      <family val="2"/>
    </font>
    <font>
      <b/>
      <u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22"/>
      <color theme="1"/>
      <name val="Arial Nova Cond"/>
      <family val="2"/>
    </font>
    <font>
      <b/>
      <sz val="12"/>
      <color rgb="FF000000"/>
      <name val="Arial Nova"/>
      <family val="2"/>
    </font>
    <font>
      <i/>
      <sz val="12"/>
      <color rgb="FF000000"/>
      <name val="Arial Nova"/>
      <family val="2"/>
    </font>
    <font>
      <b/>
      <i/>
      <sz val="5.5"/>
      <color rgb="FF000000"/>
      <name val="Arial Nova"/>
      <family val="2"/>
    </font>
  </fonts>
  <fills count="10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249977111117893"/>
        <bgColor indexed="64"/>
      </patternFill>
    </fill>
    <fill>
      <gradientFill>
        <stop position="0">
          <color theme="0"/>
        </stop>
        <stop position="1">
          <color theme="0" tint="-0.25098422193060094"/>
        </stop>
      </gradient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0" fillId="2" borderId="0" xfId="0" applyFill="1"/>
    <xf numFmtId="0" fontId="0" fillId="3" borderId="0" xfId="0" applyFill="1"/>
    <xf numFmtId="0" fontId="5" fillId="3" borderId="0" xfId="0" applyFont="1" applyFill="1"/>
    <xf numFmtId="0" fontId="3" fillId="4" borderId="0" xfId="0" applyFont="1" applyFill="1" applyAlignment="1">
      <alignment horizontal="right"/>
    </xf>
    <xf numFmtId="0" fontId="0" fillId="0" borderId="1" xfId="0" applyBorder="1" applyAlignment="1">
      <alignment wrapText="1"/>
    </xf>
    <xf numFmtId="0" fontId="0" fillId="0" borderId="2" xfId="0" applyBorder="1" applyAlignment="1">
      <alignment horizontal="left" wrapText="1"/>
    </xf>
    <xf numFmtId="0" fontId="0" fillId="0" borderId="2" xfId="0" applyBorder="1"/>
    <xf numFmtId="0" fontId="3" fillId="5" borderId="3" xfId="0" applyFont="1" applyFill="1" applyBorder="1" applyAlignment="1">
      <alignment horizontal="center" vertical="center"/>
    </xf>
    <xf numFmtId="0" fontId="0" fillId="3" borderId="0" xfId="0" quotePrefix="1" applyFill="1"/>
    <xf numFmtId="0" fontId="0" fillId="0" borderId="0" xfId="0" applyAlignment="1">
      <alignment horizontal="left"/>
    </xf>
    <xf numFmtId="0" fontId="0" fillId="4" borderId="0" xfId="0" applyFill="1"/>
    <xf numFmtId="0" fontId="11" fillId="4" borderId="0" xfId="0" applyFont="1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/>
    <xf numFmtId="0" fontId="2" fillId="0" borderId="0" xfId="0" applyFont="1"/>
    <xf numFmtId="1" fontId="0" fillId="0" borderId="0" xfId="0" applyNumberFormat="1" applyAlignment="1">
      <alignment horizontal="left"/>
    </xf>
    <xf numFmtId="0" fontId="3" fillId="0" borderId="0" xfId="0" applyFont="1"/>
    <xf numFmtId="164" fontId="0" fillId="0" borderId="0" xfId="0" applyNumberFormat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0" fillId="0" borderId="4" xfId="0" quotePrefix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6" xfId="0" applyBorder="1" applyAlignment="1">
      <alignment horizontal="left"/>
    </xf>
    <xf numFmtId="0" fontId="2" fillId="0" borderId="7" xfId="0" applyFont="1" applyBorder="1"/>
    <xf numFmtId="1" fontId="0" fillId="0" borderId="8" xfId="0" applyNumberForma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6" borderId="8" xfId="0" applyFill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3" fillId="0" borderId="9" xfId="0" applyFont="1" applyBorder="1" applyAlignment="1">
      <alignment horizontal="center"/>
    </xf>
    <xf numFmtId="0" fontId="0" fillId="0" borderId="10" xfId="0" applyBorder="1" applyAlignment="1">
      <alignment horizontal="centerContinuous"/>
    </xf>
    <xf numFmtId="0" fontId="3" fillId="0" borderId="11" xfId="0" applyFont="1" applyBorder="1" applyAlignment="1">
      <alignment horizontal="centerContinuous"/>
    </xf>
    <xf numFmtId="0" fontId="3" fillId="0" borderId="12" xfId="0" applyFont="1" applyBorder="1"/>
    <xf numFmtId="167" fontId="0" fillId="6" borderId="8" xfId="0" applyNumberFormat="1" applyFill="1" applyBorder="1" applyAlignment="1" applyProtection="1">
      <alignment horizontal="left"/>
      <protection locked="0"/>
    </xf>
    <xf numFmtId="0" fontId="3" fillId="0" borderId="8" xfId="0" applyFont="1" applyBorder="1" applyAlignment="1">
      <alignment vertical="center"/>
    </xf>
    <xf numFmtId="0" fontId="0" fillId="0" borderId="8" xfId="0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7" fillId="5" borderId="0" xfId="0" applyFont="1" applyFill="1"/>
    <xf numFmtId="0" fontId="0" fillId="0" borderId="9" xfId="0" applyBorder="1"/>
    <xf numFmtId="0" fontId="3" fillId="0" borderId="9" xfId="0" applyFont="1" applyBorder="1"/>
    <xf numFmtId="0" fontId="0" fillId="5" borderId="0" xfId="0" applyFill="1"/>
    <xf numFmtId="168" fontId="0" fillId="0" borderId="0" xfId="0" applyNumberFormat="1" applyAlignment="1">
      <alignment horizontal="left"/>
    </xf>
    <xf numFmtId="0" fontId="0" fillId="0" borderId="13" xfId="0" applyBorder="1"/>
    <xf numFmtId="0" fontId="3" fillId="0" borderId="13" xfId="0" applyFont="1" applyBorder="1"/>
    <xf numFmtId="0" fontId="3" fillId="0" borderId="8" xfId="0" applyFont="1" applyBorder="1"/>
    <xf numFmtId="169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18" fillId="0" borderId="0" xfId="0" applyFont="1"/>
    <xf numFmtId="0" fontId="19" fillId="6" borderId="8" xfId="0" applyFont="1" applyFill="1" applyBorder="1" applyAlignment="1" applyProtection="1">
      <alignment horizontal="left"/>
      <protection locked="0"/>
    </xf>
    <xf numFmtId="0" fontId="17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1" fontId="0" fillId="0" borderId="17" xfId="0" applyNumberFormat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3" fillId="0" borderId="21" xfId="0" applyFont="1" applyBorder="1" applyAlignment="1" applyProtection="1">
      <alignment horizontal="center" vertical="center" wrapText="1"/>
      <protection locked="0"/>
    </xf>
    <xf numFmtId="0" fontId="3" fillId="0" borderId="21" xfId="0" applyFont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3" fillId="0" borderId="21" xfId="0" quotePrefix="1" applyFont="1" applyBorder="1" applyAlignment="1" applyProtection="1">
      <alignment horizontal="center" vertical="center" wrapText="1"/>
      <protection locked="0"/>
    </xf>
    <xf numFmtId="0" fontId="2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8" borderId="16" xfId="0" applyFill="1" applyBorder="1" applyAlignment="1" applyProtection="1">
      <alignment horizontal="center"/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Protection="1">
      <protection locked="0"/>
    </xf>
    <xf numFmtId="0" fontId="1" fillId="9" borderId="28" xfId="0" applyFont="1" applyFill="1" applyBorder="1" applyAlignment="1" applyProtection="1">
      <alignment horizontal="center" vertical="center" wrapText="1"/>
      <protection locked="0"/>
    </xf>
    <xf numFmtId="0" fontId="1" fillId="9" borderId="29" xfId="0" applyFont="1" applyFill="1" applyBorder="1" applyAlignment="1" applyProtection="1">
      <alignment horizontal="center" vertical="center" wrapText="1"/>
      <protection locked="0"/>
    </xf>
    <xf numFmtId="0" fontId="1" fillId="9" borderId="16" xfId="0" applyFont="1" applyFill="1" applyBorder="1" applyAlignment="1" applyProtection="1">
      <alignment horizontal="center" vertical="center" wrapText="1"/>
      <protection locked="0"/>
    </xf>
    <xf numFmtId="0" fontId="1" fillId="9" borderId="12" xfId="0" applyFont="1" applyFill="1" applyBorder="1" applyAlignment="1" applyProtection="1">
      <alignment horizontal="center" vertical="center" wrapText="1"/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170" fontId="0" fillId="0" borderId="0" xfId="0" applyNumberFormat="1" applyProtection="1">
      <protection locked="0"/>
    </xf>
    <xf numFmtId="0" fontId="0" fillId="0" borderId="32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34" xfId="0" applyBorder="1" applyProtection="1">
      <protection locked="0"/>
    </xf>
    <xf numFmtId="171" fontId="0" fillId="0" borderId="0" xfId="0" quotePrefix="1" applyNumberFormat="1" applyAlignment="1">
      <alignment horizontal="left" vertical="top"/>
    </xf>
    <xf numFmtId="170" fontId="0" fillId="5" borderId="0" xfId="0" applyNumberFormat="1" applyFill="1" applyAlignment="1">
      <alignment horizontal="left"/>
    </xf>
    <xf numFmtId="172" fontId="0" fillId="0" borderId="20" xfId="0" applyNumberFormat="1" applyBorder="1" applyAlignment="1">
      <alignment horizontal="center" vertical="center"/>
    </xf>
    <xf numFmtId="172" fontId="0" fillId="0" borderId="39" xfId="0" applyNumberFormat="1" applyBorder="1" applyAlignment="1">
      <alignment horizontal="center" vertical="center"/>
    </xf>
    <xf numFmtId="0" fontId="3" fillId="0" borderId="19" xfId="0" applyFont="1" applyBorder="1"/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/>
    <xf numFmtId="0" fontId="3" fillId="0" borderId="4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Protection="1">
      <protection locked="0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wrapText="1"/>
    </xf>
    <xf numFmtId="0" fontId="24" fillId="6" borderId="0" xfId="0" applyFont="1" applyFill="1" applyAlignment="1" applyProtection="1">
      <alignment horizontal="center"/>
      <protection locked="0"/>
    </xf>
    <xf numFmtId="0" fontId="22" fillId="0" borderId="38" xfId="0" applyFont="1" applyBorder="1" applyAlignment="1" applyProtection="1">
      <alignment horizontal="center" vertical="center"/>
      <protection locked="0"/>
    </xf>
    <xf numFmtId="0" fontId="22" fillId="0" borderId="37" xfId="0" applyFont="1" applyBorder="1" applyAlignment="1" applyProtection="1">
      <alignment horizontal="center" vertical="center"/>
      <protection locked="0"/>
    </xf>
    <xf numFmtId="0" fontId="22" fillId="0" borderId="36" xfId="0" applyFont="1" applyBorder="1" applyAlignment="1" applyProtection="1">
      <alignment horizontal="center" vertical="center"/>
      <protection locked="0"/>
    </xf>
    <xf numFmtId="0" fontId="22" fillId="0" borderId="31" xfId="0" applyFont="1" applyBorder="1" applyAlignment="1" applyProtection="1">
      <alignment horizontal="center" vertical="center"/>
      <protection locked="0"/>
    </xf>
    <xf numFmtId="0" fontId="22" fillId="0" borderId="30" xfId="0" applyFont="1" applyBorder="1" applyAlignment="1" applyProtection="1">
      <alignment horizontal="center"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21" fillId="7" borderId="0" xfId="0" applyFont="1" applyFill="1" applyAlignment="1" applyProtection="1">
      <alignment horizontal="center"/>
      <protection locked="0"/>
    </xf>
    <xf numFmtId="0" fontId="21" fillId="7" borderId="0" xfId="0" applyFont="1" applyFill="1" applyAlignment="1" applyProtection="1">
      <alignment horizontal="left"/>
      <protection locked="0"/>
    </xf>
    <xf numFmtId="0" fontId="5" fillId="3" borderId="0" xfId="0" applyFont="1" applyFill="1" applyAlignment="1">
      <alignment horizontal="center" wrapText="1"/>
    </xf>
    <xf numFmtId="0" fontId="3" fillId="6" borderId="0" xfId="0" applyFont="1" applyFill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145"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indexed="64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indexed="64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indexed="64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indexed="64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indexed="64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indexed="64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0</xdr:row>
      <xdr:rowOff>0</xdr:rowOff>
    </xdr:from>
    <xdr:to>
      <xdr:col>11</xdr:col>
      <xdr:colOff>4979408</xdr:colOff>
      <xdr:row>16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70B9C7-A367-DAB1-FC95-1AFC693205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2179" y="0"/>
          <a:ext cx="5120868" cy="299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55486</xdr:colOff>
      <xdr:row>0</xdr:row>
      <xdr:rowOff>0</xdr:rowOff>
    </xdr:from>
    <xdr:to>
      <xdr:col>5</xdr:col>
      <xdr:colOff>486055</xdr:colOff>
      <xdr:row>23</xdr:row>
      <xdr:rowOff>79199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4576B1-4401-A468-4D1D-0F9783A72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33666" y="0"/>
          <a:ext cx="3685714" cy="56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291353</xdr:colOff>
      <xdr:row>0</xdr:row>
      <xdr:rowOff>33617</xdr:rowOff>
    </xdr:from>
    <xdr:to>
      <xdr:col>14</xdr:col>
      <xdr:colOff>134471</xdr:colOff>
      <xdr:row>15</xdr:row>
      <xdr:rowOff>193175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E1694E-D40C-60B2-9599-9222D895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225118" y="33617"/>
          <a:ext cx="5244353" cy="39919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Nova"/>
                </a:rPr>
                <a:t>Re-Populate Sample Entries</a:t>
              </a: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Arial Nova"/>
                </a:rPr>
                <a:t>N</a:t>
              </a:r>
              <a:r>
                <a:rPr lang="en-US" sz="550" b="1" i="1" u="none" strike="noStrike" baseline="0">
                  <a:solidFill>
                    <a:srgbClr val="000000"/>
                  </a:solidFill>
                  <a:latin typeface="Arial Nova"/>
                </a:rPr>
                <a:t>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4AFDA5-B7A3-4090-BC98-E17AAB16B715}" name="Table8" displayName="Table8" ref="I32:M37" headerRowCount="0" totalsRowShown="0" headerRowDxfId="123" headerRowBorderDxfId="122" tableBorderDxfId="121" totalsRowBorderDxfId="120">
  <tableColumns count="5">
    <tableColumn id="1" xr3:uid="{F2885B29-AA35-4564-BD66-8F856CFF49ED}" name="Column1" headerRowDxfId="119" dataDxfId="118"/>
    <tableColumn id="2" xr3:uid="{F9D15886-44EE-44EB-B9A6-2A5E513296DE}" name="Column2" headerRowDxfId="117" dataDxfId="116">
      <calculatedColumnFormula>B15</calculatedColumnFormula>
    </tableColumn>
    <tableColumn id="3" xr3:uid="{325F53D2-26FF-49C8-8F55-C67AC08D6E17}" name="Column3" headerRowDxfId="115" dataDxfId="114">
      <calculatedColumnFormula>($J32*1000) /$B$8</calculatedColumnFormula>
    </tableColumn>
    <tableColumn id="4" xr3:uid="{AFB9E793-777C-455C-A670-2A01F87F1609}" name="Column4" headerRowDxfId="113" dataDxfId="112">
      <calculatedColumnFormula>$B$5</calculatedColumnFormula>
    </tableColumn>
    <tableColumn id="5" xr3:uid="{5BCFCCC7-C2FF-4BC3-8E90-F00AA4F1CEB8}" name="Column5" headerRowDxfId="111" dataDxfId="110">
      <calculatedColumnFormula>IF(ISERROR(K32/L32), "N/A", IF(K32&gt;=L32, "FAIL", "PASS"))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EC5261-83DC-4681-9319-A2A5E727D3F0}" name="Table9" displayName="Table9" ref="O32:S37" headerRowCount="0" totalsRowShown="0" headerRowDxfId="109" headerRowBorderDxfId="108" tableBorderDxfId="107" totalsRowBorderDxfId="106">
  <tableColumns count="5">
    <tableColumn id="1" xr3:uid="{220ACF97-CAD5-4A00-B1A5-F3DA2CC32348}" name="Column1" headerRowDxfId="105" dataDxfId="104"/>
    <tableColumn id="2" xr3:uid="{6D2EB68B-E521-4C9F-8DBD-9FEAD7854F89}" name="Column2" headerRowDxfId="103" dataDxfId="102">
      <calculatedColumnFormula>C15</calculatedColumnFormula>
    </tableColumn>
    <tableColumn id="3" xr3:uid="{A34A8CEF-510C-4A48-9FE8-2E95493DCCE1}" name="Column3" headerRowDxfId="101" dataDxfId="100">
      <calculatedColumnFormula>(P32*1000) /$B$8</calculatedColumnFormula>
    </tableColumn>
    <tableColumn id="4" xr3:uid="{5EED3E59-0CB6-4BE5-B3CD-004BC1ADE58C}" name="Column4" headerRowDxfId="99" dataDxfId="98">
      <calculatedColumnFormula>$C$5</calculatedColumnFormula>
    </tableColumn>
    <tableColumn id="5" xr3:uid="{D8EA68A7-511B-4ECC-AE1C-0F6EB7D96CC1}" name="Column5" headerRowDxfId="97" dataDxfId="96">
      <calculatedColumnFormula>IF(ISERROR(Q32/R32), "N/A", IF(Q32&gt;=R32, "FAIL", "PASS"))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379C1A-5BE5-471D-A322-0003360C68D1}" name="Table10" displayName="Table10" ref="U32:Y37" headerRowCount="0" totalsRowShown="0" headerRowDxfId="95" headerRowBorderDxfId="94" tableBorderDxfId="93" totalsRowBorderDxfId="92">
  <tableColumns count="5">
    <tableColumn id="1" xr3:uid="{5EE9F568-B3C3-4A28-A7E3-9A7132A8C18B}" name="Column1" headerRowDxfId="91" dataDxfId="90"/>
    <tableColumn id="2" xr3:uid="{5441D63C-9353-4698-975C-BCD0E181E2CF}" name="Column2" headerRowDxfId="89" dataDxfId="88">
      <calculatedColumnFormula>D15</calculatedColumnFormula>
    </tableColumn>
    <tableColumn id="3" xr3:uid="{2C9F6A6F-B335-46D5-BB63-6B7699C51C1A}" name="Column3" headerRowDxfId="87" dataDxfId="86">
      <calculatedColumnFormula>(V32*1000) /$B$8</calculatedColumnFormula>
    </tableColumn>
    <tableColumn id="4" xr3:uid="{4945C6DF-5572-4991-A123-BC780594F4BE}" name="Column4" headerRowDxfId="85" dataDxfId="84">
      <calculatedColumnFormula>$D$5</calculatedColumnFormula>
    </tableColumn>
    <tableColumn id="5" xr3:uid="{824890C9-EB4E-4807-B1F8-4181420536DA}" name="Column5" headerRowDxfId="83" dataDxfId="82">
      <calculatedColumnFormula>IF(ISERROR(W32/X32), "N/A", IF(W32&gt;=X32, "FAIL", "PASS"))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E57105-E671-46E0-8C77-8476EB454649}" name="Table11" displayName="Table11" ref="AA32:AE37" headerRowCount="0" totalsRowShown="0" headerRowDxfId="81" headerRowBorderDxfId="80" tableBorderDxfId="79" totalsRowBorderDxfId="78">
  <tableColumns count="5">
    <tableColumn id="1" xr3:uid="{2B4C277A-7AB4-4BE3-9855-61EAFEFE97F1}" name="Column1" headerRowDxfId="77" dataDxfId="76"/>
    <tableColumn id="2" xr3:uid="{28E67AC2-9CFD-4C77-A12D-665AAC075A96}" name="Column2" headerRowDxfId="75" dataDxfId="74">
      <calculatedColumnFormula>E15</calculatedColumnFormula>
    </tableColumn>
    <tableColumn id="3" xr3:uid="{FAE15EB1-4D03-42B3-8E46-5E4505B57674}" name="Column3" headerRowDxfId="73" dataDxfId="72">
      <calculatedColumnFormula>(AB32*1000)/ $B$8</calculatedColumnFormula>
    </tableColumn>
    <tableColumn id="4" xr3:uid="{F13ACF4F-254F-4F2A-AF9A-8D8A673EDC6C}" name="Column4" headerRowDxfId="71" dataDxfId="70">
      <calculatedColumnFormula>$E$5</calculatedColumnFormula>
    </tableColumn>
    <tableColumn id="5" xr3:uid="{8F186637-1824-4406-A834-53FFCCEBAAA1}" name="Column5" headerRowDxfId="69" dataDxfId="68">
      <calculatedColumnFormula>IF(ISERROR(AC32/AD32), "N/A", IF(AC32&gt;=AD32, "FAIL", "PASS"))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AFE217-AAB2-49B1-A915-9C7637D2FA12}" name="Table12" displayName="Table12" ref="AG32:AK37" headerRowCount="0" totalsRowShown="0" headerRowDxfId="67" headerRowBorderDxfId="66" tableBorderDxfId="65" totalsRowBorderDxfId="64">
  <tableColumns count="5">
    <tableColumn id="1" xr3:uid="{FCA78218-9C69-45A2-8869-ED5ED4B9DE00}" name="Column1" headerRowDxfId="63" dataDxfId="62"/>
    <tableColumn id="2" xr3:uid="{33D137A7-91ED-4D27-840B-19208EACD188}" name="Column2" headerRowDxfId="61" dataDxfId="60">
      <calculatedColumnFormula>F15</calculatedColumnFormula>
    </tableColumn>
    <tableColumn id="3" xr3:uid="{4ED7BE2F-62C3-49C7-AB00-3F1FA5AD0CAA}" name="Column3" headerRowDxfId="59" dataDxfId="58">
      <calculatedColumnFormula>(AH32*1000)/ $B$8</calculatedColumnFormula>
    </tableColumn>
    <tableColumn id="4" xr3:uid="{64AE2970-2AA8-4E66-BC8B-A389A228B1D4}" name="Column4" headerRowDxfId="57" dataDxfId="56">
      <calculatedColumnFormula>$F$5</calculatedColumnFormula>
    </tableColumn>
    <tableColumn id="5" xr3:uid="{E9A063EB-DCA2-44C0-8397-545C1374C74B}" name="Column5" headerRowDxfId="55" dataDxfId="54">
      <calculatedColumnFormula>IF(ISERROR(AI32/AJ32), "N/A", IF(AI32&gt;=AJ32, "FAIL", "PASS"))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3F5120-7D37-4861-A4BA-7F5A6163FAC2}" name="Table13" displayName="Table13" ref="AM32:AQ37" headerRowCount="0" totalsRowShown="0" headerRowDxfId="53" headerRowBorderDxfId="52" tableBorderDxfId="51" totalsRowBorderDxfId="50">
  <tableColumns count="5">
    <tableColumn id="1" xr3:uid="{37ED22BB-046C-434F-BE16-F7DF82369E93}" name="Column1" headerRowDxfId="49" dataDxfId="48"/>
    <tableColumn id="2" xr3:uid="{1622740E-EF6F-47BC-89CB-158A3C1C33FB}" name="Column2" headerRowDxfId="47" dataDxfId="46">
      <calculatedColumnFormula>G15</calculatedColumnFormula>
    </tableColumn>
    <tableColumn id="3" xr3:uid="{530106FD-F50B-47B2-B298-43DEC7908A11}" name="Column3" headerRowDxfId="45" dataDxfId="44">
      <calculatedColumnFormula>(AN32*1000)/ $B$8</calculatedColumnFormula>
    </tableColumn>
    <tableColumn id="4" xr3:uid="{6B1F9B0F-55B3-491F-95D4-B336B0B4438A}" name="Column4" headerRowDxfId="43" dataDxfId="42">
      <calculatedColumnFormula>$G$5</calculatedColumnFormula>
    </tableColumn>
    <tableColumn id="5" xr3:uid="{30974F9E-C51B-4A62-8CC1-DC3D094D184A}" name="Column5" headerRowDxfId="41" dataDxfId="40">
      <calculatedColumnFormula>IF(ISERROR(AO32/AP32), "N/A", IF(AO32&gt;=AP32, "FAIL", "PASS"))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4AE649-2A24-48E9-A39B-9569402B4638}" name="Table7" displayName="Table7" ref="A15:G20" headerRowCount="0" totalsRowShown="0" headerRowDxfId="39" dataDxfId="38" tableBorderDxfId="37">
  <tableColumns count="7">
    <tableColumn id="1" xr3:uid="{D85944B9-69C0-42E8-83F6-AE04E3FDF0B2}" name="Column1" headerRowDxfId="36" dataDxfId="35"/>
    <tableColumn id="2" xr3:uid="{F3278904-14EC-4F3A-ABC8-622153616300}" name="Column2" headerRowDxfId="34" dataDxfId="33"/>
    <tableColumn id="3" xr3:uid="{FAE3B0B4-1E50-44DE-9E7D-3D18B67F29DD}" name="Column3" headerRowDxfId="32" dataDxfId="31"/>
    <tableColumn id="4" xr3:uid="{5EF54935-C386-49BB-8CDD-B564E5AC3C86}" name="Column4" headerRowDxfId="30" dataDxfId="29"/>
    <tableColumn id="5" xr3:uid="{DCAD2489-FEC8-4264-940D-B130B10CE8E3}" name="Column5" headerRowDxfId="28" dataDxfId="27"/>
    <tableColumn id="6" xr3:uid="{B6565423-FD20-42E1-998F-D8D72211598F}" name="Column6" headerRowDxfId="26" dataDxfId="25"/>
    <tableColumn id="7" xr3:uid="{32CDA0BB-0D4B-4634-BDFE-81A03E0685F3}" name="Column7" headerRowDxfId="24" dataDxfId="23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AA61B3-6877-4D27-B262-B4D3010D2C13}" name="Counts19" displayName="Counts19" ref="E5:K14" totalsRowShown="0" headerRowDxfId="16" dataDxfId="15">
  <autoFilter ref="E5:K14" xr:uid="{10F88576-ECCE-4C39-B3FD-FEBE1F5EE770}"/>
  <tableColumns count="7">
    <tableColumn id="1" xr3:uid="{53108C2E-979D-44BD-B7B8-5F466D07933B}" name="ISO CLASS" dataDxfId="14"/>
    <tableColumn id="2" xr3:uid="{EAC0B934-0B4A-4B8D-A8EC-7FB606551ABB}" name="Number of particles (0.1µm)" dataDxfId="13"/>
    <tableColumn id="3" xr3:uid="{E9CF5392-C144-4061-A790-E9C14421C883}" name="Number of particles (0.2µm)" dataDxfId="12"/>
    <tableColumn id="4" xr3:uid="{22DA8BF2-1BCD-41CC-A9BE-3DA836E6E24D}" name="Number of particles (0.3µm)" dataDxfId="11"/>
    <tableColumn id="5" xr3:uid="{DD45F16A-4EE1-48F2-80DE-F7FE43A64855}" name="Number of particles (0.5µm)" dataDxfId="10"/>
    <tableColumn id="6" xr3:uid="{8C5229B7-6363-46D9-8D44-ADEE7BC271D9}" name="Number of particles (1µm)" dataDxfId="9"/>
    <tableColumn id="7" xr3:uid="{CA007B1B-B177-4B2D-9ADD-85CC57A298FD}" name="Number of particles (5µm)" dataDxfId="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F40C32-0406-48C0-A9E8-B698F950098B}" name="Sizes20" displayName="Sizes20" ref="M6:N15" totalsRowShown="0" headerRowDxfId="7" dataDxfId="6">
  <autoFilter ref="M6:N15" xr:uid="{3BFD2EDA-A328-4A01-BBFD-96EE1DE0C363}"/>
  <tableColumns count="2">
    <tableColumn id="1" xr3:uid="{F999C8F7-3E83-4F40-9C69-E7ED6183592D}" name="Class" dataDxfId="5"/>
    <tableColumn id="2" xr3:uid="{A341F884-8E9B-4C47-8A03-B291BF3C2A55}" name="Sizes" dataDxfId="4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C9AF38B-17E6-46E1-9DBF-D1E41772A20B}" name="Points21" displayName="Points21" ref="A5:B33" totalsRowShown="0" headerRowDxfId="3" dataDxfId="2">
  <autoFilter ref="A5:B33" xr:uid="{71514EED-6D2B-46BB-8B21-B5EA8066C16D}"/>
  <sortState xmlns:xlrd2="http://schemas.microsoft.com/office/spreadsheetml/2017/richdata2" ref="A6:B33">
    <sortCondition ref="A5:A33"/>
  </sortState>
  <tableColumns count="2">
    <tableColumn id="1" xr3:uid="{A31E21F4-BD4A-4F6F-89C0-7AF43B0BA8AD}" name="Area of cleanroom (m2) less than or equal to" dataDxfId="1"/>
    <tableColumn id="2" xr3:uid="{98A18141-FFF9-4AD3-96F9-96CFE581A232}" name="Min # of sampling location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1C939-7D01-4D93-A830-1C8E84D1E5B7}">
  <sheetPr codeName="Sheet6">
    <tabColor theme="3" tint="0.59999389629810485"/>
  </sheetPr>
  <dimension ref="A1:O25"/>
  <sheetViews>
    <sheetView tabSelected="1" zoomScale="101" workbookViewId="0">
      <selection activeCell="L32" sqref="L32"/>
    </sheetView>
  </sheetViews>
  <sheetFormatPr defaultRowHeight="15" x14ac:dyDescent="0.25"/>
  <cols>
    <col min="1" max="10" width="11.140625" customWidth="1"/>
    <col min="11" max="11" width="11.28515625" customWidth="1"/>
    <col min="12" max="12" width="77" customWidth="1"/>
  </cols>
  <sheetData>
    <row r="1" spans="1:15" ht="18.75" x14ac:dyDescent="0.3">
      <c r="A1" s="12" t="s">
        <v>24</v>
      </c>
      <c r="B1" s="2"/>
      <c r="C1" s="2"/>
      <c r="D1" s="2"/>
      <c r="E1" s="2"/>
      <c r="F1" s="2"/>
      <c r="G1" s="2"/>
      <c r="H1" s="2"/>
      <c r="I1" s="2"/>
      <c r="J1" s="2"/>
      <c r="K1" s="1"/>
    </row>
    <row r="2" spans="1:15" x14ac:dyDescent="0.25">
      <c r="A2" s="11"/>
      <c r="B2" s="2"/>
      <c r="C2" s="2"/>
      <c r="D2" s="2"/>
      <c r="E2" s="2"/>
      <c r="F2" s="2"/>
      <c r="G2" s="2"/>
      <c r="H2" s="2"/>
      <c r="I2" s="2"/>
      <c r="J2" s="2"/>
      <c r="K2" s="1"/>
    </row>
    <row r="3" spans="1:15" x14ac:dyDescent="0.25">
      <c r="A3" s="11"/>
      <c r="B3" s="119" t="s">
        <v>23</v>
      </c>
      <c r="C3" s="119"/>
      <c r="D3" s="119"/>
      <c r="E3" s="119"/>
      <c r="F3" s="119"/>
      <c r="G3" s="119"/>
      <c r="H3" s="119"/>
      <c r="I3" s="119"/>
      <c r="J3" s="119"/>
      <c r="K3" s="1"/>
    </row>
    <row r="4" spans="1:15" x14ac:dyDescent="0.25">
      <c r="A4" s="4"/>
      <c r="B4" s="2" t="s">
        <v>93</v>
      </c>
      <c r="C4" s="2"/>
      <c r="D4" s="2"/>
      <c r="E4" s="2"/>
      <c r="F4" s="2"/>
      <c r="G4" s="2"/>
      <c r="H4" s="2"/>
      <c r="I4" s="2"/>
      <c r="J4" s="2"/>
      <c r="K4" s="1"/>
    </row>
    <row r="5" spans="1:15" x14ac:dyDescent="0.25">
      <c r="A5" s="4"/>
      <c r="B5" s="2" t="s">
        <v>22</v>
      </c>
      <c r="C5" s="2"/>
      <c r="D5" s="2"/>
      <c r="E5" s="2"/>
      <c r="F5" s="2"/>
      <c r="G5" s="2"/>
      <c r="H5" s="2"/>
      <c r="I5" s="2"/>
      <c r="J5" s="2"/>
      <c r="K5" s="1"/>
    </row>
    <row r="6" spans="1:15" x14ac:dyDescent="0.25">
      <c r="A6" s="4"/>
      <c r="B6" s="2"/>
      <c r="C6" s="2"/>
      <c r="D6" s="2"/>
      <c r="E6" s="2"/>
      <c r="F6" s="2"/>
      <c r="G6" s="2"/>
      <c r="H6" s="2"/>
      <c r="I6" s="2"/>
      <c r="J6" s="2"/>
      <c r="K6" s="1"/>
    </row>
    <row r="7" spans="1:15" ht="18.75" x14ac:dyDescent="0.3">
      <c r="A7" s="12" t="s">
        <v>21</v>
      </c>
      <c r="B7" s="2"/>
      <c r="C7" s="2"/>
      <c r="D7" s="2"/>
      <c r="E7" s="2"/>
      <c r="F7" s="2"/>
      <c r="G7" s="2"/>
      <c r="H7" s="2"/>
      <c r="I7" s="2"/>
      <c r="J7" s="2"/>
      <c r="K7" s="1"/>
    </row>
    <row r="8" spans="1:15" x14ac:dyDescent="0.25">
      <c r="A8" s="11"/>
      <c r="B8" s="2"/>
      <c r="C8" s="2"/>
      <c r="D8" s="2"/>
      <c r="E8" s="2"/>
      <c r="F8" s="2"/>
      <c r="G8" s="2"/>
      <c r="H8" s="2"/>
      <c r="I8" s="2"/>
      <c r="J8" s="2"/>
      <c r="K8" s="1"/>
    </row>
    <row r="9" spans="1:15" x14ac:dyDescent="0.25">
      <c r="A9" s="120" t="s">
        <v>20</v>
      </c>
      <c r="B9" s="120"/>
      <c r="C9" s="120"/>
      <c r="D9" s="120"/>
      <c r="E9" s="120"/>
      <c r="F9" s="120"/>
      <c r="G9" s="120"/>
      <c r="H9" s="120"/>
      <c r="I9" s="120"/>
      <c r="J9" s="120"/>
      <c r="K9" s="120"/>
    </row>
    <row r="10" spans="1:15" x14ac:dyDescent="0.25">
      <c r="A10" s="4"/>
      <c r="B10" s="2"/>
      <c r="C10" s="2"/>
      <c r="D10" s="2"/>
      <c r="E10" s="2"/>
      <c r="F10" s="2"/>
      <c r="G10" s="2"/>
      <c r="H10" s="2"/>
      <c r="I10" s="2"/>
      <c r="J10" s="2"/>
      <c r="K10" s="1"/>
    </row>
    <row r="11" spans="1:15" x14ac:dyDescent="0.25">
      <c r="A11" s="4" t="s">
        <v>19</v>
      </c>
      <c r="B11" s="2" t="s">
        <v>18</v>
      </c>
      <c r="C11" s="2"/>
      <c r="D11" s="2"/>
      <c r="E11" s="2"/>
      <c r="F11" s="2"/>
      <c r="G11" s="2"/>
      <c r="H11" s="2"/>
      <c r="I11" s="2"/>
      <c r="J11" s="2"/>
      <c r="K11" s="1"/>
    </row>
    <row r="12" spans="1:15" ht="18" x14ac:dyDescent="0.35">
      <c r="A12" s="4"/>
      <c r="B12" s="2"/>
      <c r="C12" s="2" t="s">
        <v>17</v>
      </c>
      <c r="D12" s="2"/>
      <c r="E12" s="2"/>
      <c r="F12" s="2"/>
      <c r="G12" s="2"/>
      <c r="H12" s="2"/>
      <c r="I12" s="2"/>
      <c r="J12" s="2"/>
      <c r="K12" s="1"/>
    </row>
    <row r="13" spans="1:15" x14ac:dyDescent="0.25">
      <c r="A13" s="4"/>
      <c r="B13" s="2"/>
      <c r="C13" s="3" t="s">
        <v>16</v>
      </c>
      <c r="D13" s="2"/>
      <c r="E13" s="2"/>
      <c r="F13" s="2"/>
      <c r="G13" s="2"/>
      <c r="H13" s="2"/>
      <c r="I13" s="2"/>
      <c r="J13" s="2"/>
      <c r="K13" s="1"/>
      <c r="O13" s="10"/>
    </row>
    <row r="14" spans="1:15" x14ac:dyDescent="0.25">
      <c r="A14" s="4"/>
      <c r="B14" s="2"/>
      <c r="C14" s="2" t="s">
        <v>15</v>
      </c>
      <c r="D14" s="2"/>
      <c r="E14" s="2"/>
      <c r="F14" s="2"/>
      <c r="G14" s="2"/>
      <c r="H14" s="2"/>
      <c r="I14" s="2"/>
      <c r="J14" s="2"/>
      <c r="K14" s="1"/>
    </row>
    <row r="15" spans="1:15" x14ac:dyDescent="0.25">
      <c r="A15" s="4"/>
      <c r="B15" s="2"/>
      <c r="C15" s="2"/>
      <c r="D15" s="2"/>
      <c r="E15" s="2"/>
      <c r="F15" s="2"/>
      <c r="G15" s="2"/>
      <c r="H15" s="2"/>
      <c r="I15" s="2"/>
      <c r="J15" s="2"/>
      <c r="K15" s="1"/>
    </row>
    <row r="16" spans="1:15" ht="18" x14ac:dyDescent="0.35">
      <c r="A16" s="4" t="s">
        <v>14</v>
      </c>
      <c r="B16" s="2" t="s">
        <v>13</v>
      </c>
      <c r="C16" s="2"/>
      <c r="D16" s="2"/>
      <c r="E16" s="2"/>
      <c r="F16" s="2"/>
      <c r="G16" s="2"/>
      <c r="H16" s="2"/>
      <c r="I16" s="2"/>
      <c r="J16" s="2"/>
      <c r="K16" s="1"/>
    </row>
    <row r="17" spans="1:12" ht="18.75" thickBot="1" x14ac:dyDescent="0.4">
      <c r="A17" s="4"/>
      <c r="B17" s="2"/>
      <c r="C17" s="2" t="s">
        <v>12</v>
      </c>
      <c r="D17" s="2"/>
      <c r="E17" s="2"/>
      <c r="F17" s="2"/>
      <c r="G17" s="2"/>
      <c r="H17" s="2"/>
      <c r="I17" s="2"/>
      <c r="J17" s="2"/>
      <c r="K17" s="1"/>
    </row>
    <row r="18" spans="1:12" ht="18" x14ac:dyDescent="0.35">
      <c r="A18" s="4"/>
      <c r="B18" s="2"/>
      <c r="C18" s="2"/>
      <c r="D18" s="9" t="s">
        <v>11</v>
      </c>
      <c r="E18" s="2"/>
      <c r="F18" s="2"/>
      <c r="G18" s="2"/>
      <c r="H18" s="2"/>
      <c r="I18" s="2"/>
      <c r="J18" s="2"/>
      <c r="K18" s="1"/>
      <c r="L18" s="8" t="s">
        <v>10</v>
      </c>
    </row>
    <row r="19" spans="1:12" ht="18" x14ac:dyDescent="0.35">
      <c r="A19" s="4"/>
      <c r="B19" s="2"/>
      <c r="C19" s="2" t="s">
        <v>9</v>
      </c>
      <c r="D19" s="2"/>
      <c r="E19" s="2"/>
      <c r="F19" s="2"/>
      <c r="G19" s="2"/>
      <c r="H19" s="2"/>
      <c r="I19" s="2"/>
      <c r="J19" s="2"/>
      <c r="K19" s="1"/>
      <c r="L19" s="7" t="s">
        <v>8</v>
      </c>
    </row>
    <row r="20" spans="1:12" ht="47.25" customHeight="1" x14ac:dyDescent="0.25">
      <c r="A20" s="4"/>
      <c r="B20" s="2"/>
      <c r="C20" s="2"/>
      <c r="D20" s="2"/>
      <c r="E20" s="2"/>
      <c r="F20" s="2"/>
      <c r="G20" s="2"/>
      <c r="H20" s="2"/>
      <c r="I20" s="2"/>
      <c r="J20" s="2"/>
      <c r="K20" s="1"/>
      <c r="L20" s="6" t="s">
        <v>7</v>
      </c>
    </row>
    <row r="21" spans="1:12" ht="36.75" customHeight="1" thickBot="1" x14ac:dyDescent="0.3">
      <c r="A21" s="4" t="s">
        <v>6</v>
      </c>
      <c r="B21" s="3" t="s">
        <v>5</v>
      </c>
      <c r="C21" s="2"/>
      <c r="D21" s="2"/>
      <c r="E21" s="2"/>
      <c r="F21" s="2"/>
      <c r="G21" s="2"/>
      <c r="H21" s="2"/>
      <c r="I21" s="2"/>
      <c r="J21" s="2"/>
      <c r="K21" s="1"/>
      <c r="L21" s="5" t="s">
        <v>4</v>
      </c>
    </row>
    <row r="22" spans="1:12" x14ac:dyDescent="0.25">
      <c r="A22" s="4"/>
      <c r="B22" s="2"/>
      <c r="C22" s="2"/>
      <c r="D22" s="2"/>
      <c r="E22" s="2"/>
      <c r="F22" s="2"/>
      <c r="G22" s="2"/>
      <c r="H22" s="2"/>
      <c r="I22" s="2"/>
      <c r="J22" s="2"/>
      <c r="K22" s="1"/>
    </row>
    <row r="23" spans="1:12" x14ac:dyDescent="0.25">
      <c r="A23" s="4" t="s">
        <v>3</v>
      </c>
      <c r="B23" s="3" t="s">
        <v>2</v>
      </c>
      <c r="C23" s="2"/>
      <c r="D23" s="2"/>
      <c r="E23" s="2"/>
      <c r="F23" s="2"/>
      <c r="G23" s="2"/>
      <c r="H23" s="2"/>
      <c r="I23" s="2"/>
      <c r="J23" s="2"/>
      <c r="K23" s="1"/>
    </row>
    <row r="24" spans="1:12" x14ac:dyDescent="0.25">
      <c r="A24" s="4"/>
      <c r="B24" s="2"/>
      <c r="C24" s="2"/>
      <c r="D24" s="2"/>
      <c r="E24" s="2"/>
      <c r="F24" s="2"/>
      <c r="G24" s="2"/>
      <c r="H24" s="2"/>
      <c r="I24" s="2"/>
      <c r="J24" s="2"/>
      <c r="K24" s="1"/>
    </row>
    <row r="25" spans="1:12" x14ac:dyDescent="0.25">
      <c r="A25" s="4" t="s">
        <v>1</v>
      </c>
      <c r="B25" s="3" t="s">
        <v>0</v>
      </c>
      <c r="C25" s="2"/>
      <c r="D25" s="2"/>
      <c r="E25" s="2"/>
      <c r="F25" s="2"/>
      <c r="G25" s="2"/>
      <c r="H25" s="2"/>
      <c r="I25" s="2"/>
      <c r="J25" s="2"/>
      <c r="K25" s="1"/>
    </row>
  </sheetData>
  <sheetProtection algorithmName="SHA-512" hashValue="cEb0uZP9L8bX1KOANgx7OaQB4naOKtAzMobid+SsH3+cwlX7eqc3aMS2nuyi6XNvi5wjdu8SpJfXvyMq6Tiijw==" saltValue="TKe8QrvvY6uvWqkSk5bfaw==" spinCount="100000" sheet="1" objects="1" scenarios="1"/>
  <mergeCells count="2">
    <mergeCell ref="B3:J3"/>
    <mergeCell ref="A9:K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F6AB-C75E-4E34-854F-D33B04AEA2EA}">
  <sheetPr codeName="Sheet7">
    <tabColor rgb="FFFF0000"/>
  </sheetPr>
  <dimension ref="A1:H51"/>
  <sheetViews>
    <sheetView zoomScale="103" zoomScaleNormal="100" workbookViewId="0">
      <selection activeCell="B25" sqref="B25"/>
    </sheetView>
  </sheetViews>
  <sheetFormatPr defaultRowHeight="15" x14ac:dyDescent="0.25"/>
  <cols>
    <col min="1" max="1" width="27.7109375" customWidth="1"/>
    <col min="2" max="2" width="33.42578125" customWidth="1"/>
    <col min="3" max="3" width="21.7109375" customWidth="1"/>
    <col min="4" max="4" width="15.42578125" customWidth="1"/>
    <col min="5" max="6" width="11.7109375" customWidth="1"/>
    <col min="7" max="7" width="19.5703125" customWidth="1"/>
    <col min="8" max="8" width="16.28515625" customWidth="1"/>
    <col min="9" max="9" width="12.85546875" customWidth="1"/>
    <col min="10" max="10" width="8.85546875" customWidth="1"/>
  </cols>
  <sheetData>
    <row r="1" spans="1:8" ht="27" customHeight="1" thickBot="1" x14ac:dyDescent="0.3">
      <c r="A1" s="121" t="s">
        <v>45</v>
      </c>
      <c r="B1" s="122"/>
      <c r="C1" s="57"/>
      <c r="D1" s="57"/>
    </row>
    <row r="2" spans="1:8" ht="18" customHeight="1" x14ac:dyDescent="0.25">
      <c r="A2" s="123" t="s">
        <v>44</v>
      </c>
      <c r="B2" s="124"/>
      <c r="E2" s="19"/>
    </row>
    <row r="3" spans="1:8" ht="18" customHeight="1" x14ac:dyDescent="0.4">
      <c r="A3" s="52" t="s">
        <v>43</v>
      </c>
      <c r="B3" s="56" t="s">
        <v>42</v>
      </c>
      <c r="C3" s="55"/>
      <c r="D3" s="19"/>
    </row>
    <row r="4" spans="1:8" ht="18" customHeight="1" x14ac:dyDescent="0.25">
      <c r="A4" s="52" t="s">
        <v>41</v>
      </c>
      <c r="B4" s="54" t="s">
        <v>91</v>
      </c>
      <c r="D4" s="19"/>
    </row>
    <row r="5" spans="1:8" ht="18" customHeight="1" x14ac:dyDescent="0.25">
      <c r="A5" s="52" t="s">
        <v>40</v>
      </c>
      <c r="B5" s="42" t="s">
        <v>39</v>
      </c>
      <c r="D5" s="21"/>
      <c r="E5" s="53"/>
      <c r="F5" s="53"/>
      <c r="G5" s="53"/>
    </row>
    <row r="6" spans="1:8" ht="18" customHeight="1" x14ac:dyDescent="0.25">
      <c r="A6" s="52" t="s">
        <v>38</v>
      </c>
      <c r="B6" s="42" t="str" cm="1">
        <f t="array" ref="B6">_xlfn._xlws.FILTER(Sizes20[Sizes],Sizes20[Class]=B3)</f>
        <v>0.5µm, 1µm, 5µm</v>
      </c>
      <c r="E6" s="49"/>
      <c r="G6" s="48" t="s">
        <v>37</v>
      </c>
    </row>
    <row r="7" spans="1:8" ht="18" customHeight="1" thickBot="1" x14ac:dyDescent="0.3">
      <c r="A7" s="51"/>
      <c r="B7" s="50"/>
      <c r="E7" s="49"/>
      <c r="G7" s="48"/>
    </row>
    <row r="8" spans="1:8" ht="18" customHeight="1" thickBot="1" x14ac:dyDescent="0.3">
      <c r="A8" s="125" t="s">
        <v>36</v>
      </c>
      <c r="B8" s="126"/>
      <c r="E8" s="49"/>
      <c r="G8" s="48"/>
    </row>
    <row r="9" spans="1:8" ht="18" customHeight="1" x14ac:dyDescent="0.25">
      <c r="A9" s="47" t="s">
        <v>35</v>
      </c>
      <c r="B9" s="46" t="s">
        <v>34</v>
      </c>
      <c r="G9" s="45" t="s">
        <v>33</v>
      </c>
    </row>
    <row r="10" spans="1:8" x14ac:dyDescent="0.25">
      <c r="A10" s="41" t="s">
        <v>32</v>
      </c>
      <c r="B10" s="42" t="s">
        <v>92</v>
      </c>
      <c r="D10" s="44"/>
      <c r="E10" s="43"/>
      <c r="F10" s="43"/>
      <c r="G10" s="43"/>
    </row>
    <row r="11" spans="1:8" ht="18" customHeight="1" x14ac:dyDescent="0.25">
      <c r="A11" s="41" t="s">
        <v>31</v>
      </c>
      <c r="B11" s="42" t="s">
        <v>90</v>
      </c>
      <c r="D11" s="13"/>
      <c r="E11" s="13"/>
      <c r="F11" s="13"/>
      <c r="G11" s="13"/>
    </row>
    <row r="12" spans="1:8" ht="18" customHeight="1" x14ac:dyDescent="0.25">
      <c r="A12" s="41" t="s">
        <v>30</v>
      </c>
      <c r="B12" s="40">
        <v>2.83168</v>
      </c>
      <c r="D12" s="13"/>
      <c r="E12" s="13"/>
      <c r="F12" s="13"/>
      <c r="G12" s="13"/>
    </row>
    <row r="13" spans="1:8" ht="18" customHeight="1" thickBot="1" x14ac:dyDescent="0.3">
      <c r="A13" s="39"/>
      <c r="D13" s="13"/>
      <c r="E13" s="13"/>
      <c r="F13" s="13"/>
      <c r="G13" s="13"/>
      <c r="H13" s="19"/>
    </row>
    <row r="14" spans="1:8" ht="18" customHeight="1" thickBot="1" x14ac:dyDescent="0.3">
      <c r="A14" s="38" t="s">
        <v>29</v>
      </c>
      <c r="B14" s="37"/>
      <c r="D14" s="13"/>
      <c r="E14" s="13"/>
      <c r="F14" s="13"/>
      <c r="G14" s="13"/>
    </row>
    <row r="15" spans="1:8" x14ac:dyDescent="0.25">
      <c r="A15" s="36" t="s">
        <v>28</v>
      </c>
      <c r="B15" s="35">
        <v>3.65</v>
      </c>
      <c r="D15" s="13"/>
      <c r="E15" s="13"/>
      <c r="F15" s="13"/>
      <c r="G15" s="13"/>
    </row>
    <row r="16" spans="1:8" x14ac:dyDescent="0.25">
      <c r="A16" s="33" t="s">
        <v>27</v>
      </c>
      <c r="B16" s="34">
        <v>3.65</v>
      </c>
      <c r="D16" s="13"/>
      <c r="E16" s="13"/>
      <c r="F16" s="13"/>
      <c r="G16" s="13"/>
    </row>
    <row r="17" spans="1:8" ht="17.25" x14ac:dyDescent="0.25">
      <c r="A17" s="33" t="s">
        <v>26</v>
      </c>
      <c r="B17" s="32">
        <f>B15*B16</f>
        <v>13.3225</v>
      </c>
    </row>
    <row r="18" spans="1:8" ht="15.75" thickBot="1" x14ac:dyDescent="0.3">
      <c r="A18" s="31"/>
      <c r="B18" s="30"/>
      <c r="D18" s="29"/>
      <c r="E18" s="29"/>
      <c r="F18" s="28"/>
      <c r="G18" s="28"/>
      <c r="H18" s="28"/>
    </row>
    <row r="19" spans="1:8" ht="48.75" thickBot="1" x14ac:dyDescent="0.3">
      <c r="A19" s="27" t="s">
        <v>25</v>
      </c>
      <c r="B19" s="26">
        <f>IF(ISNUMBER(MATCH(B17,Points21[Area of cleanroom (m2) less than or equal to],0)),_xlfn.XLOOKUP(B17,Points21[Area of cleanroom (m2) less than or equal to],Points21[Min '# of sampling locations],,1),VLOOKUP(B17,Points21[#Data],2,TRUE)+1)</f>
        <v>6</v>
      </c>
      <c r="D19" s="17"/>
      <c r="E19" s="17"/>
      <c r="F19" s="17"/>
      <c r="G19" s="17"/>
      <c r="H19" s="15"/>
    </row>
    <row r="20" spans="1:8" x14ac:dyDescent="0.25">
      <c r="B20" s="10"/>
      <c r="D20" s="13"/>
      <c r="E20" s="13"/>
      <c r="F20" s="13"/>
      <c r="G20" s="14"/>
      <c r="H20" s="13"/>
    </row>
    <row r="21" spans="1:8" x14ac:dyDescent="0.25">
      <c r="B21" s="10"/>
      <c r="D21" s="13"/>
      <c r="E21" s="13"/>
      <c r="F21" s="13"/>
      <c r="G21" s="14"/>
      <c r="H21" s="13"/>
    </row>
    <row r="22" spans="1:8" x14ac:dyDescent="0.25">
      <c r="B22" s="25"/>
      <c r="C22" s="24"/>
      <c r="D22" s="13"/>
      <c r="E22" s="13"/>
      <c r="F22" s="13"/>
      <c r="G22" s="14"/>
      <c r="H22" s="13"/>
    </row>
    <row r="23" spans="1:8" x14ac:dyDescent="0.25">
      <c r="A23" s="21"/>
      <c r="B23" s="23"/>
      <c r="D23" s="13"/>
      <c r="E23" s="13"/>
      <c r="F23" s="13"/>
      <c r="G23" s="14"/>
      <c r="H23" s="13"/>
    </row>
    <row r="24" spans="1:8" x14ac:dyDescent="0.25">
      <c r="B24" s="22"/>
      <c r="D24" s="13"/>
      <c r="E24" s="13"/>
      <c r="F24" s="13"/>
      <c r="G24" s="14"/>
      <c r="H24" s="13"/>
    </row>
    <row r="25" spans="1:8" x14ac:dyDescent="0.25">
      <c r="D25" s="13"/>
      <c r="E25" s="13"/>
      <c r="F25" s="13"/>
      <c r="G25" s="14"/>
      <c r="H25" s="13"/>
    </row>
    <row r="26" spans="1:8" x14ac:dyDescent="0.25">
      <c r="A26" s="21"/>
      <c r="B26" s="20"/>
      <c r="G26" s="19"/>
    </row>
    <row r="27" spans="1:8" x14ac:dyDescent="0.25">
      <c r="G27" s="19"/>
    </row>
    <row r="28" spans="1:8" x14ac:dyDescent="0.25">
      <c r="D28" s="17"/>
      <c r="E28" s="17"/>
      <c r="F28" s="17"/>
      <c r="G28" s="16"/>
      <c r="H28" s="15"/>
    </row>
    <row r="29" spans="1:8" x14ac:dyDescent="0.25">
      <c r="D29" s="13"/>
      <c r="E29" s="13"/>
      <c r="F29" s="13"/>
      <c r="G29" s="14"/>
      <c r="H29" s="13"/>
    </row>
    <row r="30" spans="1:8" x14ac:dyDescent="0.25">
      <c r="D30" s="13"/>
      <c r="E30" s="13"/>
      <c r="F30" s="13"/>
      <c r="G30" s="14"/>
      <c r="H30" s="13"/>
    </row>
    <row r="31" spans="1:8" x14ac:dyDescent="0.25">
      <c r="D31" s="13"/>
      <c r="E31" s="13"/>
      <c r="F31" s="13"/>
      <c r="G31" s="14"/>
      <c r="H31" s="13"/>
    </row>
    <row r="32" spans="1:8" x14ac:dyDescent="0.25">
      <c r="D32" s="13"/>
      <c r="E32" s="13"/>
      <c r="F32" s="13"/>
      <c r="G32" s="14"/>
      <c r="H32" s="13"/>
    </row>
    <row r="33" spans="4:8" x14ac:dyDescent="0.25">
      <c r="D33" s="13"/>
      <c r="E33" s="13"/>
      <c r="F33" s="13"/>
      <c r="G33" s="14"/>
      <c r="H33" s="13"/>
    </row>
    <row r="34" spans="4:8" x14ac:dyDescent="0.25">
      <c r="D34" s="13"/>
      <c r="E34" s="13"/>
      <c r="F34" s="13"/>
      <c r="G34" s="14"/>
      <c r="H34" s="13"/>
    </row>
    <row r="35" spans="4:8" x14ac:dyDescent="0.25">
      <c r="G35" s="18"/>
    </row>
    <row r="36" spans="4:8" x14ac:dyDescent="0.25">
      <c r="G36" s="18"/>
    </row>
    <row r="37" spans="4:8" x14ac:dyDescent="0.25">
      <c r="D37" s="17"/>
      <c r="E37" s="17"/>
      <c r="F37" s="17"/>
      <c r="G37" s="16"/>
      <c r="H37" s="15"/>
    </row>
    <row r="38" spans="4:8" x14ac:dyDescent="0.25">
      <c r="D38" s="13"/>
      <c r="E38" s="13"/>
      <c r="F38" s="13"/>
      <c r="G38" s="14"/>
      <c r="H38" s="13"/>
    </row>
    <row r="39" spans="4:8" x14ac:dyDescent="0.25">
      <c r="D39" s="13"/>
      <c r="E39" s="13"/>
      <c r="F39" s="13"/>
      <c r="G39" s="14"/>
      <c r="H39" s="13"/>
    </row>
    <row r="40" spans="4:8" x14ac:dyDescent="0.25">
      <c r="D40" s="13"/>
      <c r="E40" s="13"/>
      <c r="F40" s="13"/>
      <c r="G40" s="14"/>
      <c r="H40" s="13"/>
    </row>
    <row r="41" spans="4:8" x14ac:dyDescent="0.25">
      <c r="D41" s="13"/>
      <c r="E41" s="13"/>
      <c r="F41" s="13"/>
      <c r="G41" s="14"/>
      <c r="H41" s="13"/>
    </row>
    <row r="42" spans="4:8" x14ac:dyDescent="0.25">
      <c r="D42" s="13"/>
      <c r="E42" s="13"/>
      <c r="F42" s="13"/>
      <c r="G42" s="14"/>
      <c r="H42" s="13"/>
    </row>
    <row r="43" spans="4:8" x14ac:dyDescent="0.25">
      <c r="D43" s="13"/>
      <c r="E43" s="13"/>
      <c r="F43" s="13"/>
      <c r="G43" s="14"/>
      <c r="H43" s="13"/>
    </row>
    <row r="51" customFormat="1" ht="30.6" customHeight="1" x14ac:dyDescent="0.25"/>
  </sheetData>
  <sheetProtection algorithmName="SHA-512" hashValue="Ya40eSUzqO0CnjxYsKvupsCW33vH8twIAT2FX5wcB2vaMweJQbjv6llnQBvLsqz1Ph4/FsQ1RMBJz2BBvWBzDQ==" saltValue="/5bafJWyFS+WnX1zo5M4tw==" spinCount="100000" sheet="1" objects="1" scenarios="1"/>
  <mergeCells count="3">
    <mergeCell ref="A1:B1"/>
    <mergeCell ref="A2:B2"/>
    <mergeCell ref="A8:B8"/>
  </mergeCells>
  <conditionalFormatting sqref="H20:H25">
    <cfRule type="containsText" dxfId="22" priority="5" operator="containsText" text="PASS">
      <formula>NOT(ISERROR(SEARCH("PASS",H20)))</formula>
    </cfRule>
    <cfRule type="cellIs" dxfId="21" priority="6" operator="greaterThan">
      <formula>352000</formula>
    </cfRule>
  </conditionalFormatting>
  <conditionalFormatting sqref="H29:H34">
    <cfRule type="containsText" dxfId="20" priority="3" operator="containsText" text="PASS">
      <formula>NOT(ISERROR(SEARCH("PASS",H29)))</formula>
    </cfRule>
    <cfRule type="cellIs" dxfId="19" priority="4" operator="greaterThan">
      <formula>352000</formula>
    </cfRule>
  </conditionalFormatting>
  <conditionalFormatting sqref="H38:H43">
    <cfRule type="containsText" dxfId="18" priority="1" operator="containsText" text="PASS">
      <formula>NOT(ISERROR(SEARCH("PASS",H38)))</formula>
    </cfRule>
    <cfRule type="cellIs" dxfId="17" priority="2" operator="greaterThan">
      <formula>352000</formula>
    </cfRule>
  </conditionalFormatting>
  <pageMargins left="0.7" right="0.7" top="0.75" bottom="0.75" header="0.3" footer="0.3"/>
  <pageSetup orientation="portrait" verticalDpi="4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552651-850E-4C77-9D5B-1FF0EA7D08E6}">
          <x14:formula1>
            <xm:f>CalcData!$E$6:$E$14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4A377-5C77-4D0E-B826-184203BB6308}">
  <sheetPr codeName="Sheet8">
    <tabColor rgb="FF00B050"/>
    <pageSetUpPr autoPageBreaks="0"/>
  </sheetPr>
  <dimension ref="A1:AQ80"/>
  <sheetViews>
    <sheetView topLeftCell="A2" zoomScale="85" zoomScaleNormal="85" workbookViewId="0">
      <selection activeCell="A55" sqref="A54:A55"/>
    </sheetView>
  </sheetViews>
  <sheetFormatPr defaultColWidth="8.85546875" defaultRowHeight="15" x14ac:dyDescent="0.25"/>
  <cols>
    <col min="1" max="1" width="31.42578125" style="58" customWidth="1"/>
    <col min="2" max="2" width="14.42578125" style="58" customWidth="1"/>
    <col min="3" max="7" width="14.5703125" style="58" customWidth="1"/>
    <col min="8" max="8" width="13.28515625" style="58" customWidth="1"/>
    <col min="9" max="9" width="9.7109375" style="58" customWidth="1"/>
    <col min="10" max="10" width="10.7109375" style="58" customWidth="1"/>
    <col min="11" max="11" width="13.42578125" style="58" customWidth="1"/>
    <col min="12" max="12" width="12.140625" style="58" customWidth="1"/>
    <col min="13" max="13" width="8.7109375" style="58" customWidth="1"/>
    <col min="14" max="14" width="12.85546875" style="58" customWidth="1"/>
    <col min="15" max="15" width="9.7109375" style="58" customWidth="1"/>
    <col min="16" max="16" width="10.7109375" style="58" customWidth="1"/>
    <col min="17" max="17" width="13.42578125" style="58" customWidth="1"/>
    <col min="18" max="18" width="12.140625" style="58" customWidth="1"/>
    <col min="19" max="19" width="8.7109375" style="58" customWidth="1"/>
    <col min="20" max="20" width="13.42578125" style="58" customWidth="1"/>
    <col min="21" max="21" width="9.85546875" style="58" customWidth="1"/>
    <col min="22" max="22" width="10.7109375" style="58" customWidth="1"/>
    <col min="23" max="23" width="13.42578125" style="58" customWidth="1"/>
    <col min="24" max="24" width="12.140625" style="58" customWidth="1"/>
    <col min="25" max="25" width="8.7109375" style="58" customWidth="1"/>
    <col min="26" max="26" width="11.28515625" style="58" customWidth="1"/>
    <col min="27" max="27" width="9.85546875" style="58" customWidth="1"/>
    <col min="28" max="28" width="10.7109375" style="58" customWidth="1"/>
    <col min="29" max="29" width="13.42578125" style="58" customWidth="1"/>
    <col min="30" max="30" width="12.140625" style="58" customWidth="1"/>
    <col min="31" max="31" width="8.85546875" style="58" customWidth="1"/>
    <col min="32" max="32" width="12.7109375" style="58" customWidth="1"/>
    <col min="33" max="33" width="9.7109375" style="58" customWidth="1"/>
    <col min="34" max="34" width="10.7109375" style="58" customWidth="1"/>
    <col min="35" max="35" width="13.42578125" style="58" customWidth="1"/>
    <col min="36" max="36" width="12.140625" style="58" customWidth="1"/>
    <col min="37" max="38" width="8.85546875" style="58"/>
    <col min="39" max="39" width="9.85546875" style="58" customWidth="1"/>
    <col min="40" max="40" width="10.7109375" style="58" customWidth="1"/>
    <col min="41" max="41" width="13.42578125" style="58" customWidth="1"/>
    <col min="42" max="42" width="12" style="58" customWidth="1"/>
    <col min="43" max="43" width="8.85546875" style="58" customWidth="1"/>
    <col min="44" max="16384" width="8.85546875" style="58"/>
  </cols>
  <sheetData>
    <row r="1" spans="1:24" x14ac:dyDescent="0.25">
      <c r="A1" s="107">
        <f>CleanroomData!B19</f>
        <v>6</v>
      </c>
    </row>
    <row r="2" spans="1:24" ht="27.75" x14ac:dyDescent="0.4">
      <c r="B2" s="110" t="s">
        <v>42</v>
      </c>
      <c r="C2" s="110"/>
    </row>
    <row r="4" spans="1:24" ht="30" x14ac:dyDescent="0.25">
      <c r="A4" s="31"/>
      <c r="B4" s="106" t="s">
        <v>67</v>
      </c>
      <c r="C4" s="106" t="s">
        <v>66</v>
      </c>
      <c r="D4" s="106" t="s">
        <v>65</v>
      </c>
      <c r="E4" s="106" t="s">
        <v>64</v>
      </c>
      <c r="F4" s="106" t="s">
        <v>63</v>
      </c>
      <c r="G4" s="105" t="s">
        <v>62</v>
      </c>
    </row>
    <row r="5" spans="1:24" x14ac:dyDescent="0.25">
      <c r="A5" s="104" t="str" cm="1">
        <f t="array" ref="A5:G5">_xlfn._xlws.FILTER(Counts19[#Data],Counts19[ISO CLASS]=B2)</f>
        <v>ISO Class 7</v>
      </c>
      <c r="B5" s="103">
        <v>0</v>
      </c>
      <c r="C5" s="103">
        <v>0</v>
      </c>
      <c r="D5" s="103">
        <v>0</v>
      </c>
      <c r="E5" s="103">
        <v>352000</v>
      </c>
      <c r="F5" s="103">
        <v>83200</v>
      </c>
      <c r="G5" s="102">
        <v>2930</v>
      </c>
    </row>
    <row r="6" spans="1:24" ht="18.75" thickBot="1" x14ac:dyDescent="0.4">
      <c r="A6" s="101" t="s">
        <v>61</v>
      </c>
      <c r="B6" s="100" t="e">
        <f t="shared" ref="B6:G6" si="0">(20/B5)*1000</f>
        <v>#DIV/0!</v>
      </c>
      <c r="C6" s="100" t="e">
        <f t="shared" si="0"/>
        <v>#DIV/0!</v>
      </c>
      <c r="D6" s="100" t="e">
        <f t="shared" si="0"/>
        <v>#DIV/0!</v>
      </c>
      <c r="E6" s="100">
        <f t="shared" si="0"/>
        <v>5.6818181818181816E-2</v>
      </c>
      <c r="F6" s="100">
        <f t="shared" si="0"/>
        <v>0.24038461538461539</v>
      </c>
      <c r="G6" s="99">
        <f t="shared" si="0"/>
        <v>6.8259385665529013</v>
      </c>
    </row>
    <row r="7" spans="1:24" x14ac:dyDescent="0.25">
      <c r="P7" s="111" t="s">
        <v>60</v>
      </c>
      <c r="Q7" s="112"/>
      <c r="R7" s="112"/>
      <c r="S7" s="112"/>
      <c r="T7" s="112"/>
      <c r="U7" s="112"/>
      <c r="V7" s="112"/>
      <c r="W7" s="112"/>
      <c r="X7" s="113"/>
    </row>
    <row r="8" spans="1:24" ht="15.75" thickBot="1" x14ac:dyDescent="0.3">
      <c r="A8" t="s">
        <v>59</v>
      </c>
      <c r="B8" s="98">
        <f>_xlfn.CEILING.MATH((_xlfn.AGGREGATE(4,6,B6:G6)),5)</f>
        <v>10</v>
      </c>
      <c r="P8" s="114"/>
      <c r="Q8" s="115"/>
      <c r="R8" s="115"/>
      <c r="S8" s="115"/>
      <c r="T8" s="115"/>
      <c r="U8" s="115"/>
      <c r="V8" s="115"/>
      <c r="W8" s="115"/>
      <c r="X8" s="116"/>
    </row>
    <row r="9" spans="1:24" ht="14.45" customHeight="1" thickBot="1" x14ac:dyDescent="0.3">
      <c r="A9" t="s">
        <v>58</v>
      </c>
      <c r="B9" s="97">
        <f>B8/CleanroomData!B12</f>
        <v>3.5314724827664143</v>
      </c>
      <c r="H9" s="86"/>
      <c r="P9" s="96"/>
      <c r="Q9" s="95"/>
      <c r="R9" s="95"/>
      <c r="S9" s="95"/>
      <c r="T9" s="95"/>
      <c r="U9" s="95"/>
      <c r="V9" s="95"/>
      <c r="W9" s="95"/>
      <c r="X9" s="94"/>
    </row>
    <row r="10" spans="1:24" ht="15.75" thickBot="1" x14ac:dyDescent="0.3">
      <c r="D10" s="93"/>
      <c r="H10" s="86"/>
      <c r="P10" s="85"/>
      <c r="Q10" s="84"/>
      <c r="R10" s="84"/>
      <c r="S10" s="84"/>
      <c r="T10" s="84"/>
      <c r="U10" s="84"/>
      <c r="V10" s="84"/>
      <c r="W10" s="84"/>
      <c r="X10" s="83"/>
    </row>
    <row r="11" spans="1:24" ht="15.75" thickBot="1" x14ac:dyDescent="0.3">
      <c r="H11" s="86"/>
      <c r="P11" s="85"/>
      <c r="Q11" s="84"/>
      <c r="R11" s="84"/>
      <c r="S11" s="84"/>
      <c r="T11" s="84"/>
      <c r="U11" s="84"/>
      <c r="V11" s="84"/>
      <c r="W11" s="84"/>
      <c r="X11" s="83"/>
    </row>
    <row r="12" spans="1:24" ht="14.45" customHeight="1" thickBot="1" x14ac:dyDescent="0.3">
      <c r="A12" s="117" t="s">
        <v>57</v>
      </c>
      <c r="B12" s="117"/>
      <c r="C12" s="117"/>
      <c r="D12" s="117"/>
      <c r="E12" s="117"/>
      <c r="F12" s="117"/>
      <c r="G12" s="117"/>
      <c r="H12" s="86"/>
      <c r="P12" s="85"/>
      <c r="Q12" s="84"/>
      <c r="R12" s="84"/>
      <c r="S12" s="84"/>
      <c r="T12" s="84"/>
      <c r="U12" s="84"/>
      <c r="V12" s="84"/>
      <c r="W12" s="84"/>
      <c r="X12" s="83"/>
    </row>
    <row r="13" spans="1:24" ht="15.75" thickBot="1" x14ac:dyDescent="0.3">
      <c r="A13" s="92"/>
      <c r="B13" s="91"/>
      <c r="C13" s="91"/>
      <c r="H13" s="86"/>
      <c r="P13" s="85"/>
      <c r="Q13" s="84"/>
      <c r="R13" s="84"/>
      <c r="S13" s="84"/>
      <c r="T13" s="84"/>
      <c r="U13" s="84"/>
      <c r="V13" s="84"/>
      <c r="W13" s="84"/>
      <c r="X13" s="83"/>
    </row>
    <row r="14" spans="1:24" ht="58.9" customHeight="1" thickBot="1" x14ac:dyDescent="0.3">
      <c r="A14" s="90" t="s">
        <v>56</v>
      </c>
      <c r="B14" s="89" t="s">
        <v>55</v>
      </c>
      <c r="C14" s="89" t="s">
        <v>54</v>
      </c>
      <c r="D14" s="88" t="s">
        <v>53</v>
      </c>
      <c r="E14" s="88" t="s">
        <v>52</v>
      </c>
      <c r="F14" s="88" t="s">
        <v>51</v>
      </c>
      <c r="G14" s="87" t="s">
        <v>50</v>
      </c>
      <c r="P14" s="85"/>
      <c r="Q14" s="84"/>
      <c r="R14" s="84"/>
      <c r="S14" s="84"/>
      <c r="T14" s="84"/>
      <c r="U14" s="84"/>
      <c r="V14" s="84"/>
      <c r="W14" s="84"/>
      <c r="X14" s="83"/>
    </row>
    <row r="15" spans="1:24" ht="15.75" thickBot="1" x14ac:dyDescent="0.3">
      <c r="A15" s="59">
        <v>1</v>
      </c>
      <c r="B15" s="79"/>
      <c r="C15" s="79"/>
      <c r="D15" s="79"/>
      <c r="E15" s="79"/>
      <c r="F15" s="79"/>
      <c r="G15" s="79"/>
      <c r="P15" s="85"/>
      <c r="Q15" s="84"/>
      <c r="R15" s="84"/>
      <c r="S15" s="84"/>
      <c r="T15" s="84"/>
      <c r="V15" s="84"/>
      <c r="W15" s="84"/>
      <c r="X15" s="83"/>
    </row>
    <row r="16" spans="1:24" ht="15.75" thickBot="1" x14ac:dyDescent="0.3">
      <c r="A16" s="59">
        <v>2</v>
      </c>
      <c r="B16" s="79"/>
      <c r="C16" s="79"/>
      <c r="D16" s="79"/>
      <c r="E16" s="79"/>
      <c r="F16" s="79"/>
      <c r="G16" s="79"/>
      <c r="H16" s="86"/>
      <c r="P16" s="85"/>
      <c r="Q16" s="84"/>
      <c r="R16" s="84"/>
      <c r="S16" s="84"/>
      <c r="T16" s="84"/>
      <c r="U16" s="84"/>
      <c r="V16" s="84"/>
      <c r="W16" s="84"/>
      <c r="X16" s="83"/>
    </row>
    <row r="17" spans="1:43" ht="15.75" thickBot="1" x14ac:dyDescent="0.3">
      <c r="A17" s="59">
        <v>3</v>
      </c>
      <c r="B17" s="79"/>
      <c r="C17" s="79"/>
      <c r="D17" s="79"/>
      <c r="E17" s="79"/>
      <c r="F17" s="79"/>
      <c r="G17" s="79"/>
      <c r="P17" s="85"/>
      <c r="Q17" s="84"/>
      <c r="R17" s="84"/>
      <c r="S17" s="84"/>
      <c r="T17" s="84"/>
      <c r="U17" s="84"/>
      <c r="V17" s="84"/>
      <c r="W17" s="84"/>
      <c r="X17" s="83"/>
    </row>
    <row r="18" spans="1:43" ht="15.75" thickBot="1" x14ac:dyDescent="0.3">
      <c r="A18" s="59">
        <v>4</v>
      </c>
      <c r="B18" s="79"/>
      <c r="C18" s="79"/>
      <c r="D18" s="79"/>
      <c r="E18" s="79"/>
      <c r="F18" s="79"/>
      <c r="G18" s="79"/>
      <c r="P18" s="82"/>
      <c r="Q18" s="81"/>
      <c r="R18" s="81"/>
      <c r="S18" s="81"/>
      <c r="T18" s="81"/>
      <c r="U18" s="81"/>
      <c r="V18" s="81"/>
      <c r="W18" s="81"/>
      <c r="X18" s="80"/>
    </row>
    <row r="19" spans="1:43" x14ac:dyDescent="0.25">
      <c r="A19" s="59">
        <v>5</v>
      </c>
      <c r="B19" s="79"/>
      <c r="C19" s="79"/>
      <c r="D19" s="79"/>
      <c r="E19" s="79"/>
      <c r="F19" s="79"/>
      <c r="G19" s="79"/>
    </row>
    <row r="20" spans="1:43" x14ac:dyDescent="0.25">
      <c r="A20" s="59">
        <v>6</v>
      </c>
      <c r="B20" s="79"/>
      <c r="C20" s="79"/>
      <c r="D20" s="79"/>
      <c r="E20" s="79"/>
      <c r="F20" s="79"/>
      <c r="G20" s="79"/>
      <c r="W20" s="59"/>
    </row>
    <row r="21" spans="1:43" x14ac:dyDescent="0.25">
      <c r="A21" s="59"/>
      <c r="B21" s="59"/>
      <c r="C21" s="59"/>
      <c r="D21" s="59"/>
      <c r="E21" s="59"/>
      <c r="F21" s="59"/>
      <c r="G21" s="59"/>
    </row>
    <row r="22" spans="1:43" x14ac:dyDescent="0.25">
      <c r="A22" s="59"/>
      <c r="B22" s="59"/>
      <c r="C22" s="59"/>
      <c r="D22" s="59"/>
      <c r="E22" s="59"/>
      <c r="F22" s="59"/>
      <c r="G22" s="59"/>
    </row>
    <row r="23" spans="1:43" x14ac:dyDescent="0.25">
      <c r="A23" s="59"/>
      <c r="B23" s="59"/>
      <c r="C23" s="59"/>
      <c r="D23" s="59"/>
      <c r="E23" s="59"/>
      <c r="F23" s="59"/>
      <c r="G23" s="59"/>
      <c r="H23" s="78"/>
    </row>
    <row r="24" spans="1:43" x14ac:dyDescent="0.25">
      <c r="A24" s="59"/>
      <c r="B24" s="59"/>
      <c r="C24" s="59"/>
      <c r="D24" s="59"/>
      <c r="E24" s="59"/>
      <c r="F24" s="59"/>
      <c r="G24" s="59"/>
    </row>
    <row r="25" spans="1:43" x14ac:dyDescent="0.25">
      <c r="A25" s="59"/>
      <c r="B25" s="59"/>
      <c r="C25" s="59"/>
      <c r="D25" s="59"/>
      <c r="E25" s="59"/>
      <c r="F25" s="59"/>
      <c r="G25" s="59"/>
    </row>
    <row r="26" spans="1:43" x14ac:dyDescent="0.25">
      <c r="A26" s="59"/>
      <c r="B26" s="59"/>
      <c r="C26" s="59"/>
      <c r="D26" s="59"/>
      <c r="E26" s="59"/>
      <c r="F26" s="59"/>
      <c r="G26" s="59"/>
    </row>
    <row r="27" spans="1:43" x14ac:dyDescent="0.25">
      <c r="A27" s="59"/>
      <c r="B27" s="59"/>
      <c r="C27" s="59"/>
      <c r="D27" s="59"/>
      <c r="E27" s="59"/>
      <c r="F27" s="59"/>
      <c r="G27" s="59"/>
    </row>
    <row r="28" spans="1:43" ht="15.75" x14ac:dyDescent="0.25">
      <c r="A28" s="59"/>
      <c r="B28" s="59"/>
      <c r="C28" s="59"/>
      <c r="D28" s="59"/>
      <c r="E28" s="59"/>
      <c r="F28" s="59"/>
      <c r="G28" s="59"/>
      <c r="I28" s="118" t="s">
        <v>49</v>
      </c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</row>
    <row r="29" spans="1:43" ht="15.75" x14ac:dyDescent="0.25">
      <c r="A29" s="59"/>
      <c r="B29" s="59"/>
      <c r="C29" s="59"/>
      <c r="D29" s="59"/>
      <c r="E29" s="59"/>
      <c r="F29" s="59"/>
      <c r="G29" s="59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</row>
    <row r="30" spans="1:43" ht="15.75" thickBot="1" x14ac:dyDescent="0.3">
      <c r="A30" s="59"/>
      <c r="B30" s="59"/>
      <c r="C30" s="59"/>
      <c r="D30" s="59"/>
      <c r="E30" s="59"/>
      <c r="F30" s="59"/>
      <c r="G30" s="59"/>
    </row>
    <row r="31" spans="1:43" ht="90.75" thickBot="1" x14ac:dyDescent="0.3">
      <c r="A31" s="59"/>
      <c r="B31" s="59"/>
      <c r="C31" s="59"/>
      <c r="D31" s="59"/>
      <c r="E31" s="59"/>
      <c r="F31" s="59"/>
      <c r="G31" s="59"/>
      <c r="I31" s="75" t="s">
        <v>48</v>
      </c>
      <c r="J31" s="76" t="str">
        <f>_xlfn.CONCAT("Location Sample Average &gt; 0.1µm (counts per ",TEXT(B8,0)," L)")</f>
        <v>Location Sample Average &gt; 0.1µm (counts per 10 L)</v>
      </c>
      <c r="K31" s="74" t="s">
        <v>47</v>
      </c>
      <c r="L31" s="74" t="str">
        <f>_xlfn.CONCAT(B2," Limit  (0.1 µm)")</f>
        <v>ISO Class 7 Limit  (0.1 µm)</v>
      </c>
      <c r="M31" s="72" t="s">
        <v>46</v>
      </c>
      <c r="O31" s="75" t="s">
        <v>48</v>
      </c>
      <c r="P31" s="74" t="str">
        <f>_xlfn.CONCAT("Location Sample Average &gt; 0.2µm (counts per ",TEXT(B8,0)," L)")</f>
        <v>Location Sample Average &gt; 0.2µm (counts per 10 L)</v>
      </c>
      <c r="Q31" s="74" t="s">
        <v>47</v>
      </c>
      <c r="R31" s="74" t="str">
        <f>_xlfn.CONCAT(B2," Limit  (0.2 µm)")</f>
        <v>ISO Class 7 Limit  (0.2 µm)</v>
      </c>
      <c r="S31" s="72" t="s">
        <v>46</v>
      </c>
      <c r="U31" s="75" t="s">
        <v>48</v>
      </c>
      <c r="V31" s="74" t="str">
        <f>_xlfn.CONCAT("Location Sample Average &gt; 0.3µm (counts per ",TEXT(B8,0)," L)")</f>
        <v>Location Sample Average &gt; 0.3µm (counts per 10 L)</v>
      </c>
      <c r="W31" s="74" t="s">
        <v>47</v>
      </c>
      <c r="X31" s="74" t="str">
        <f>_xlfn.CONCAT(B2," Limit  (0.3 µm)")</f>
        <v>ISO Class 7 Limit  (0.3 µm)</v>
      </c>
      <c r="Y31" s="72" t="s">
        <v>46</v>
      </c>
      <c r="AA31" s="75" t="s">
        <v>48</v>
      </c>
      <c r="AB31" s="74" t="str">
        <f>_xlfn.CONCAT("Location Sample Average &gt; 0.5µm (counts per ",TEXT(B8,0)," L)")</f>
        <v>Location Sample Average &gt; 0.5µm (counts per 10 L)</v>
      </c>
      <c r="AC31" s="74" t="s">
        <v>47</v>
      </c>
      <c r="AD31" s="74" t="str">
        <f>_xlfn.CONCAT(B2," Limit  (0.5 µm)")</f>
        <v>ISO Class 7 Limit  (0.5 µm)</v>
      </c>
      <c r="AE31" s="72" t="s">
        <v>46</v>
      </c>
      <c r="AG31" s="75" t="s">
        <v>48</v>
      </c>
      <c r="AH31" s="74" t="str">
        <f>_xlfn.CONCAT("Location Sample Average &gt; 1µm (counts per ",TEXT(B8,0)," L)")</f>
        <v>Location Sample Average &gt; 1µm (counts per 10 L)</v>
      </c>
      <c r="AI31" s="74" t="s">
        <v>47</v>
      </c>
      <c r="AJ31" s="73" t="str">
        <f>_xlfn.CONCAT(B2," Limit  (1 µm)")</f>
        <v>ISO Class 7 Limit  (1 µm)</v>
      </c>
      <c r="AK31" s="72" t="s">
        <v>46</v>
      </c>
      <c r="AM31" s="75" t="s">
        <v>48</v>
      </c>
      <c r="AN31" s="74" t="str">
        <f>_xlfn.CONCAT("Location Sample Average &gt; 5µm (counts per ",TEXT(B8,0)," L)")</f>
        <v>Location Sample Average &gt; 5µm (counts per 10 L)</v>
      </c>
      <c r="AO31" s="74" t="s">
        <v>47</v>
      </c>
      <c r="AP31" s="73" t="str">
        <f>_xlfn.CONCAT(B2," Limit  (5 µm)")</f>
        <v>ISO Class 7 Limit  (5 µm)</v>
      </c>
      <c r="AQ31" s="72" t="s">
        <v>46</v>
      </c>
    </row>
    <row r="32" spans="1:43" x14ac:dyDescent="0.25">
      <c r="A32" s="59"/>
      <c r="B32" s="59"/>
      <c r="C32" s="59"/>
      <c r="D32" s="59"/>
      <c r="E32" s="59"/>
      <c r="F32" s="59"/>
      <c r="G32" s="59"/>
      <c r="I32" s="70">
        <v>1</v>
      </c>
      <c r="J32" s="71">
        <f t="shared" ref="J32:J37" si="1">B15</f>
        <v>0</v>
      </c>
      <c r="K32" s="69">
        <f t="shared" ref="K32:K37" si="2">($J32*1000) /$B$8</f>
        <v>0</v>
      </c>
      <c r="L32" s="68">
        <f t="shared" ref="L32:L37" si="3">$B$5</f>
        <v>0</v>
      </c>
      <c r="M32" s="67" t="str">
        <f t="shared" ref="M32:M37" si="4">IF(ISERROR(K32/L32), "N/A", IF(K32&gt;=L32, "FAIL", "PASS"))</f>
        <v>N/A</v>
      </c>
      <c r="O32" s="70">
        <v>1</v>
      </c>
      <c r="P32" s="69">
        <f t="shared" ref="P32:P37" si="5">C15</f>
        <v>0</v>
      </c>
      <c r="Q32" s="69">
        <f t="shared" ref="Q32:Q37" si="6">(P32*1000) /$B$8</f>
        <v>0</v>
      </c>
      <c r="R32" s="68">
        <f t="shared" ref="R32:R37" si="7">$C$5</f>
        <v>0</v>
      </c>
      <c r="S32" s="67" t="str">
        <f t="shared" ref="S32:S37" si="8">IF(ISERROR(Q32/R32), "N/A", IF(Q32&gt;=R32, "FAIL", "PASS"))</f>
        <v>N/A</v>
      </c>
      <c r="U32" s="70">
        <v>1</v>
      </c>
      <c r="V32" s="69">
        <f t="shared" ref="V32:V37" si="9">D15</f>
        <v>0</v>
      </c>
      <c r="W32" s="69">
        <f t="shared" ref="W32:W37" si="10">(V32*1000) /$B$8</f>
        <v>0</v>
      </c>
      <c r="X32" s="68">
        <f t="shared" ref="X32:X37" si="11">$D$5</f>
        <v>0</v>
      </c>
      <c r="Y32" s="67" t="str">
        <f t="shared" ref="Y32:Y37" si="12">IF(ISERROR(W32/X32), "N/A", IF(W32&gt;=X32, "FAIL", "PASS"))</f>
        <v>N/A</v>
      </c>
      <c r="AA32" s="70">
        <v>1</v>
      </c>
      <c r="AB32" s="69">
        <f t="shared" ref="AB32:AB37" si="13">E15</f>
        <v>0</v>
      </c>
      <c r="AC32" s="69">
        <f t="shared" ref="AC32:AC37" si="14">(AB32*1000)/ $B$8</f>
        <v>0</v>
      </c>
      <c r="AD32" s="68">
        <f t="shared" ref="AD32:AD37" si="15">$E$5</f>
        <v>352000</v>
      </c>
      <c r="AE32" s="67" t="str">
        <f t="shared" ref="AE32:AE37" si="16">IF(ISERROR(AC32/AD32), "N/A", IF(AC32&gt;=AD32, "FAIL", "PASS"))</f>
        <v>PASS</v>
      </c>
      <c r="AG32" s="70">
        <v>1</v>
      </c>
      <c r="AH32" s="69">
        <f t="shared" ref="AH32:AH37" si="17">F15</f>
        <v>0</v>
      </c>
      <c r="AI32" s="69">
        <f t="shared" ref="AI32:AI37" si="18">(AH32*1000)/ $B$8</f>
        <v>0</v>
      </c>
      <c r="AJ32" s="68">
        <f t="shared" ref="AJ32:AJ37" si="19">$F$5</f>
        <v>83200</v>
      </c>
      <c r="AK32" s="67" t="str">
        <f t="shared" ref="AK32:AK37" si="20">IF(ISERROR(AI32/AJ32), "N/A", IF(AI32&gt;=AJ32, "FAIL", "PASS"))</f>
        <v>PASS</v>
      </c>
      <c r="AM32" s="70">
        <v>1</v>
      </c>
      <c r="AN32" s="69">
        <f t="shared" ref="AN32:AN37" si="21">G15</f>
        <v>0</v>
      </c>
      <c r="AO32" s="69">
        <f t="shared" ref="AO32:AO37" si="22">(AN32*1000)/ $B$8</f>
        <v>0</v>
      </c>
      <c r="AP32" s="68">
        <f t="shared" ref="AP32:AP37" si="23">$G$5</f>
        <v>2930</v>
      </c>
      <c r="AQ32" s="67" t="str">
        <f t="shared" ref="AQ32:AQ37" si="24">IF(ISERROR(AO32/AP32), "N/A", IF(AO32&gt;=AP32, "FAIL", "PASS"))</f>
        <v>PASS</v>
      </c>
    </row>
    <row r="33" spans="1:43" x14ac:dyDescent="0.25">
      <c r="A33" s="59"/>
      <c r="B33" s="59"/>
      <c r="C33" s="59"/>
      <c r="D33" s="59"/>
      <c r="E33" s="59"/>
      <c r="F33" s="59"/>
      <c r="G33" s="59"/>
      <c r="I33" s="70">
        <v>2</v>
      </c>
      <c r="J33" s="71">
        <f t="shared" si="1"/>
        <v>0</v>
      </c>
      <c r="K33" s="69">
        <f t="shared" si="2"/>
        <v>0</v>
      </c>
      <c r="L33" s="68">
        <f t="shared" si="3"/>
        <v>0</v>
      </c>
      <c r="M33" s="67" t="str">
        <f t="shared" si="4"/>
        <v>N/A</v>
      </c>
      <c r="O33" s="70">
        <v>2</v>
      </c>
      <c r="P33" s="69">
        <f t="shared" si="5"/>
        <v>0</v>
      </c>
      <c r="Q33" s="69">
        <f t="shared" si="6"/>
        <v>0</v>
      </c>
      <c r="R33" s="68">
        <f t="shared" si="7"/>
        <v>0</v>
      </c>
      <c r="S33" s="67" t="str">
        <f t="shared" si="8"/>
        <v>N/A</v>
      </c>
      <c r="U33" s="70">
        <v>2</v>
      </c>
      <c r="V33" s="69">
        <f t="shared" si="9"/>
        <v>0</v>
      </c>
      <c r="W33" s="69">
        <f t="shared" si="10"/>
        <v>0</v>
      </c>
      <c r="X33" s="68">
        <f t="shared" si="11"/>
        <v>0</v>
      </c>
      <c r="Y33" s="67" t="str">
        <f t="shared" si="12"/>
        <v>N/A</v>
      </c>
      <c r="AA33" s="70">
        <v>2</v>
      </c>
      <c r="AB33" s="69">
        <f t="shared" si="13"/>
        <v>0</v>
      </c>
      <c r="AC33" s="69">
        <f t="shared" si="14"/>
        <v>0</v>
      </c>
      <c r="AD33" s="68">
        <f t="shared" si="15"/>
        <v>352000</v>
      </c>
      <c r="AE33" s="67" t="str">
        <f t="shared" si="16"/>
        <v>PASS</v>
      </c>
      <c r="AG33" s="70">
        <v>2</v>
      </c>
      <c r="AH33" s="69">
        <f t="shared" si="17"/>
        <v>0</v>
      </c>
      <c r="AI33" s="69">
        <f t="shared" si="18"/>
        <v>0</v>
      </c>
      <c r="AJ33" s="68">
        <f t="shared" si="19"/>
        <v>83200</v>
      </c>
      <c r="AK33" s="67" t="str">
        <f t="shared" si="20"/>
        <v>PASS</v>
      </c>
      <c r="AM33" s="70">
        <v>2</v>
      </c>
      <c r="AN33" s="69">
        <f t="shared" si="21"/>
        <v>0</v>
      </c>
      <c r="AO33" s="69">
        <f t="shared" si="22"/>
        <v>0</v>
      </c>
      <c r="AP33" s="68">
        <f t="shared" si="23"/>
        <v>2930</v>
      </c>
      <c r="AQ33" s="67" t="str">
        <f t="shared" si="24"/>
        <v>PASS</v>
      </c>
    </row>
    <row r="34" spans="1:43" x14ac:dyDescent="0.25">
      <c r="A34" s="59"/>
      <c r="B34" s="59"/>
      <c r="C34" s="59"/>
      <c r="D34" s="59"/>
      <c r="E34" s="59"/>
      <c r="F34" s="59"/>
      <c r="G34" s="59"/>
      <c r="I34" s="70">
        <v>3</v>
      </c>
      <c r="J34" s="71">
        <f t="shared" si="1"/>
        <v>0</v>
      </c>
      <c r="K34" s="69">
        <f t="shared" si="2"/>
        <v>0</v>
      </c>
      <c r="L34" s="68">
        <f t="shared" si="3"/>
        <v>0</v>
      </c>
      <c r="M34" s="67" t="str">
        <f t="shared" si="4"/>
        <v>N/A</v>
      </c>
      <c r="O34" s="70">
        <v>3</v>
      </c>
      <c r="P34" s="69">
        <f t="shared" si="5"/>
        <v>0</v>
      </c>
      <c r="Q34" s="69">
        <f t="shared" si="6"/>
        <v>0</v>
      </c>
      <c r="R34" s="68">
        <f t="shared" si="7"/>
        <v>0</v>
      </c>
      <c r="S34" s="67" t="str">
        <f t="shared" si="8"/>
        <v>N/A</v>
      </c>
      <c r="U34" s="70">
        <v>3</v>
      </c>
      <c r="V34" s="69">
        <f t="shared" si="9"/>
        <v>0</v>
      </c>
      <c r="W34" s="69">
        <f t="shared" si="10"/>
        <v>0</v>
      </c>
      <c r="X34" s="68">
        <f t="shared" si="11"/>
        <v>0</v>
      </c>
      <c r="Y34" s="67" t="str">
        <f t="shared" si="12"/>
        <v>N/A</v>
      </c>
      <c r="AA34" s="70">
        <v>3</v>
      </c>
      <c r="AB34" s="69">
        <f t="shared" si="13"/>
        <v>0</v>
      </c>
      <c r="AC34" s="69">
        <f t="shared" si="14"/>
        <v>0</v>
      </c>
      <c r="AD34" s="68">
        <f t="shared" si="15"/>
        <v>352000</v>
      </c>
      <c r="AE34" s="67" t="str">
        <f t="shared" si="16"/>
        <v>PASS</v>
      </c>
      <c r="AG34" s="70">
        <v>3</v>
      </c>
      <c r="AH34" s="69">
        <f t="shared" si="17"/>
        <v>0</v>
      </c>
      <c r="AI34" s="69">
        <f t="shared" si="18"/>
        <v>0</v>
      </c>
      <c r="AJ34" s="68">
        <f t="shared" si="19"/>
        <v>83200</v>
      </c>
      <c r="AK34" s="67" t="str">
        <f t="shared" si="20"/>
        <v>PASS</v>
      </c>
      <c r="AM34" s="70">
        <v>3</v>
      </c>
      <c r="AN34" s="69">
        <f t="shared" si="21"/>
        <v>0</v>
      </c>
      <c r="AO34" s="69">
        <f t="shared" si="22"/>
        <v>0</v>
      </c>
      <c r="AP34" s="68">
        <f t="shared" si="23"/>
        <v>2930</v>
      </c>
      <c r="AQ34" s="67" t="str">
        <f t="shared" si="24"/>
        <v>PASS</v>
      </c>
    </row>
    <row r="35" spans="1:43" x14ac:dyDescent="0.25">
      <c r="A35" s="59"/>
      <c r="B35" s="59"/>
      <c r="C35" s="59"/>
      <c r="D35" s="59"/>
      <c r="E35" s="59"/>
      <c r="F35" s="59"/>
      <c r="G35" s="59"/>
      <c r="I35" s="70">
        <v>4</v>
      </c>
      <c r="J35" s="71">
        <f t="shared" si="1"/>
        <v>0</v>
      </c>
      <c r="K35" s="69">
        <f t="shared" si="2"/>
        <v>0</v>
      </c>
      <c r="L35" s="68">
        <f t="shared" si="3"/>
        <v>0</v>
      </c>
      <c r="M35" s="67" t="str">
        <f t="shared" si="4"/>
        <v>N/A</v>
      </c>
      <c r="O35" s="70">
        <v>4</v>
      </c>
      <c r="P35" s="69">
        <f t="shared" si="5"/>
        <v>0</v>
      </c>
      <c r="Q35" s="69">
        <f t="shared" si="6"/>
        <v>0</v>
      </c>
      <c r="R35" s="68">
        <f t="shared" si="7"/>
        <v>0</v>
      </c>
      <c r="S35" s="67" t="str">
        <f t="shared" si="8"/>
        <v>N/A</v>
      </c>
      <c r="U35" s="70">
        <v>4</v>
      </c>
      <c r="V35" s="69">
        <f t="shared" si="9"/>
        <v>0</v>
      </c>
      <c r="W35" s="69">
        <f t="shared" si="10"/>
        <v>0</v>
      </c>
      <c r="X35" s="68">
        <f t="shared" si="11"/>
        <v>0</v>
      </c>
      <c r="Y35" s="67" t="str">
        <f t="shared" si="12"/>
        <v>N/A</v>
      </c>
      <c r="AA35" s="70">
        <v>4</v>
      </c>
      <c r="AB35" s="69">
        <f t="shared" si="13"/>
        <v>0</v>
      </c>
      <c r="AC35" s="69">
        <f t="shared" si="14"/>
        <v>0</v>
      </c>
      <c r="AD35" s="68">
        <f t="shared" si="15"/>
        <v>352000</v>
      </c>
      <c r="AE35" s="67" t="str">
        <f t="shared" si="16"/>
        <v>PASS</v>
      </c>
      <c r="AG35" s="70">
        <v>4</v>
      </c>
      <c r="AH35" s="69">
        <f t="shared" si="17"/>
        <v>0</v>
      </c>
      <c r="AI35" s="69">
        <f t="shared" si="18"/>
        <v>0</v>
      </c>
      <c r="AJ35" s="68">
        <f t="shared" si="19"/>
        <v>83200</v>
      </c>
      <c r="AK35" s="67" t="str">
        <f t="shared" si="20"/>
        <v>PASS</v>
      </c>
      <c r="AM35" s="70">
        <v>4</v>
      </c>
      <c r="AN35" s="69">
        <f t="shared" si="21"/>
        <v>0</v>
      </c>
      <c r="AO35" s="69">
        <f t="shared" si="22"/>
        <v>0</v>
      </c>
      <c r="AP35" s="68">
        <f t="shared" si="23"/>
        <v>2930</v>
      </c>
      <c r="AQ35" s="67" t="str">
        <f t="shared" si="24"/>
        <v>PASS</v>
      </c>
    </row>
    <row r="36" spans="1:43" x14ac:dyDescent="0.25">
      <c r="A36" s="59"/>
      <c r="B36" s="59"/>
      <c r="C36" s="59"/>
      <c r="D36" s="59"/>
      <c r="E36" s="59"/>
      <c r="F36" s="59"/>
      <c r="G36" s="59"/>
      <c r="I36" s="70">
        <v>5</v>
      </c>
      <c r="J36" s="71">
        <f t="shared" si="1"/>
        <v>0</v>
      </c>
      <c r="K36" s="69">
        <f t="shared" si="2"/>
        <v>0</v>
      </c>
      <c r="L36" s="68">
        <f t="shared" si="3"/>
        <v>0</v>
      </c>
      <c r="M36" s="67" t="str">
        <f t="shared" si="4"/>
        <v>N/A</v>
      </c>
      <c r="O36" s="70">
        <v>5</v>
      </c>
      <c r="P36" s="69">
        <f t="shared" si="5"/>
        <v>0</v>
      </c>
      <c r="Q36" s="69">
        <f t="shared" si="6"/>
        <v>0</v>
      </c>
      <c r="R36" s="68">
        <f t="shared" si="7"/>
        <v>0</v>
      </c>
      <c r="S36" s="67" t="str">
        <f t="shared" si="8"/>
        <v>N/A</v>
      </c>
      <c r="U36" s="70">
        <v>5</v>
      </c>
      <c r="V36" s="69">
        <f t="shared" si="9"/>
        <v>0</v>
      </c>
      <c r="W36" s="69">
        <f t="shared" si="10"/>
        <v>0</v>
      </c>
      <c r="X36" s="68">
        <f t="shared" si="11"/>
        <v>0</v>
      </c>
      <c r="Y36" s="67" t="str">
        <f t="shared" si="12"/>
        <v>N/A</v>
      </c>
      <c r="AA36" s="70">
        <v>5</v>
      </c>
      <c r="AB36" s="69">
        <f t="shared" si="13"/>
        <v>0</v>
      </c>
      <c r="AC36" s="69">
        <f t="shared" si="14"/>
        <v>0</v>
      </c>
      <c r="AD36" s="68">
        <f t="shared" si="15"/>
        <v>352000</v>
      </c>
      <c r="AE36" s="67" t="str">
        <f t="shared" si="16"/>
        <v>PASS</v>
      </c>
      <c r="AG36" s="70">
        <v>5</v>
      </c>
      <c r="AH36" s="69">
        <f t="shared" si="17"/>
        <v>0</v>
      </c>
      <c r="AI36" s="69">
        <f t="shared" si="18"/>
        <v>0</v>
      </c>
      <c r="AJ36" s="68">
        <f t="shared" si="19"/>
        <v>83200</v>
      </c>
      <c r="AK36" s="67" t="str">
        <f t="shared" si="20"/>
        <v>PASS</v>
      </c>
      <c r="AM36" s="70">
        <v>5</v>
      </c>
      <c r="AN36" s="69">
        <f t="shared" si="21"/>
        <v>0</v>
      </c>
      <c r="AO36" s="69">
        <f t="shared" si="22"/>
        <v>0</v>
      </c>
      <c r="AP36" s="68">
        <f t="shared" si="23"/>
        <v>2930</v>
      </c>
      <c r="AQ36" s="67" t="str">
        <f t="shared" si="24"/>
        <v>PASS</v>
      </c>
    </row>
    <row r="37" spans="1:43" x14ac:dyDescent="0.25">
      <c r="A37" s="59"/>
      <c r="B37" s="59"/>
      <c r="C37" s="59"/>
      <c r="D37" s="59"/>
      <c r="E37" s="59"/>
      <c r="F37" s="59"/>
      <c r="G37" s="59"/>
      <c r="I37" s="65">
        <v>6</v>
      </c>
      <c r="J37" s="66">
        <f t="shared" si="1"/>
        <v>0</v>
      </c>
      <c r="K37" s="64">
        <f t="shared" si="2"/>
        <v>0</v>
      </c>
      <c r="L37" s="63">
        <f t="shared" si="3"/>
        <v>0</v>
      </c>
      <c r="M37" s="62" t="str">
        <f t="shared" si="4"/>
        <v>N/A</v>
      </c>
      <c r="O37" s="65">
        <v>6</v>
      </c>
      <c r="P37" s="64">
        <f t="shared" si="5"/>
        <v>0</v>
      </c>
      <c r="Q37" s="64">
        <f t="shared" si="6"/>
        <v>0</v>
      </c>
      <c r="R37" s="63">
        <f t="shared" si="7"/>
        <v>0</v>
      </c>
      <c r="S37" s="62" t="str">
        <f t="shared" si="8"/>
        <v>N/A</v>
      </c>
      <c r="U37" s="65">
        <v>6</v>
      </c>
      <c r="V37" s="64">
        <f t="shared" si="9"/>
        <v>0</v>
      </c>
      <c r="W37" s="64">
        <f t="shared" si="10"/>
        <v>0</v>
      </c>
      <c r="X37" s="63">
        <f t="shared" si="11"/>
        <v>0</v>
      </c>
      <c r="Y37" s="62" t="str">
        <f t="shared" si="12"/>
        <v>N/A</v>
      </c>
      <c r="AA37" s="65">
        <v>6</v>
      </c>
      <c r="AB37" s="64">
        <f t="shared" si="13"/>
        <v>0</v>
      </c>
      <c r="AC37" s="64">
        <f t="shared" si="14"/>
        <v>0</v>
      </c>
      <c r="AD37" s="63">
        <f t="shared" si="15"/>
        <v>352000</v>
      </c>
      <c r="AE37" s="62" t="str">
        <f t="shared" si="16"/>
        <v>PASS</v>
      </c>
      <c r="AG37" s="65">
        <v>6</v>
      </c>
      <c r="AH37" s="64">
        <f t="shared" si="17"/>
        <v>0</v>
      </c>
      <c r="AI37" s="64">
        <f t="shared" si="18"/>
        <v>0</v>
      </c>
      <c r="AJ37" s="63">
        <f t="shared" si="19"/>
        <v>83200</v>
      </c>
      <c r="AK37" s="62" t="str">
        <f t="shared" si="20"/>
        <v>PASS</v>
      </c>
      <c r="AM37" s="65">
        <v>6</v>
      </c>
      <c r="AN37" s="64">
        <f t="shared" si="21"/>
        <v>0</v>
      </c>
      <c r="AO37" s="64">
        <f t="shared" si="22"/>
        <v>0</v>
      </c>
      <c r="AP37" s="63">
        <f t="shared" si="23"/>
        <v>2930</v>
      </c>
      <c r="AQ37" s="62" t="str">
        <f t="shared" si="24"/>
        <v>PASS</v>
      </c>
    </row>
    <row r="38" spans="1:43" x14ac:dyDescent="0.25">
      <c r="A38" s="59"/>
      <c r="B38" s="59"/>
      <c r="C38" s="59"/>
      <c r="D38" s="59"/>
      <c r="E38" s="59"/>
      <c r="F38" s="59"/>
      <c r="G38" s="59"/>
      <c r="I38" s="59"/>
      <c r="J38" s="61"/>
      <c r="K38" s="59"/>
      <c r="L38" s="60"/>
      <c r="M38" s="59"/>
      <c r="O38" s="59"/>
      <c r="P38" s="59"/>
      <c r="Q38" s="59"/>
      <c r="R38" s="60"/>
      <c r="S38" s="59"/>
      <c r="U38" s="59"/>
      <c r="V38" s="59"/>
      <c r="W38" s="59"/>
      <c r="X38" s="60"/>
      <c r="Y38" s="59"/>
      <c r="AA38" s="59"/>
      <c r="AB38" s="59"/>
      <c r="AC38" s="59"/>
      <c r="AD38" s="60"/>
      <c r="AE38" s="59"/>
      <c r="AG38" s="59"/>
      <c r="AH38" s="59"/>
      <c r="AI38" s="59"/>
      <c r="AJ38" s="60"/>
      <c r="AK38" s="59"/>
      <c r="AM38" s="59"/>
      <c r="AN38" s="59"/>
      <c r="AO38" s="59"/>
      <c r="AP38" s="60"/>
      <c r="AQ38" s="59"/>
    </row>
    <row r="39" spans="1:43" x14ac:dyDescent="0.25">
      <c r="A39" s="59"/>
      <c r="B39" s="59"/>
      <c r="C39" s="59"/>
      <c r="D39" s="59"/>
      <c r="E39" s="59"/>
      <c r="F39" s="59"/>
      <c r="G39" s="59"/>
      <c r="I39" s="59"/>
      <c r="J39" s="61"/>
      <c r="K39" s="59"/>
      <c r="L39" s="60"/>
      <c r="M39" s="59"/>
      <c r="O39" s="59"/>
      <c r="P39" s="59"/>
      <c r="Q39" s="59"/>
      <c r="R39" s="60"/>
      <c r="S39" s="59"/>
      <c r="U39" s="59"/>
      <c r="V39" s="59"/>
      <c r="W39" s="59"/>
      <c r="X39" s="60"/>
      <c r="Y39" s="59"/>
      <c r="AA39" s="59"/>
      <c r="AB39" s="59"/>
      <c r="AC39" s="59"/>
      <c r="AD39" s="60"/>
      <c r="AE39" s="59"/>
      <c r="AG39" s="59"/>
      <c r="AH39" s="59"/>
      <c r="AI39" s="59"/>
      <c r="AJ39" s="60"/>
      <c r="AK39" s="59"/>
      <c r="AM39" s="59"/>
      <c r="AN39" s="59"/>
      <c r="AO39" s="59"/>
      <c r="AP39" s="60"/>
      <c r="AQ39" s="59"/>
    </row>
    <row r="40" spans="1:43" x14ac:dyDescent="0.25">
      <c r="A40" s="59"/>
      <c r="B40" s="59"/>
      <c r="C40" s="59"/>
      <c r="D40" s="59"/>
      <c r="E40" s="59"/>
      <c r="F40" s="59"/>
      <c r="G40" s="59"/>
      <c r="I40" s="59"/>
      <c r="J40" s="61"/>
      <c r="K40" s="59"/>
      <c r="L40" s="60"/>
      <c r="M40" s="59"/>
      <c r="O40" s="59"/>
      <c r="P40" s="59"/>
      <c r="Q40" s="59"/>
      <c r="R40" s="60"/>
      <c r="S40" s="59"/>
      <c r="U40" s="59"/>
      <c r="V40" s="59"/>
      <c r="W40" s="59"/>
      <c r="X40" s="60"/>
      <c r="Y40" s="59"/>
      <c r="AA40" s="59"/>
      <c r="AB40" s="59"/>
      <c r="AC40" s="59"/>
      <c r="AD40" s="60"/>
      <c r="AE40" s="59"/>
      <c r="AG40" s="59"/>
      <c r="AH40" s="59"/>
      <c r="AI40" s="59"/>
      <c r="AJ40" s="60"/>
      <c r="AK40" s="59"/>
      <c r="AM40" s="59"/>
      <c r="AN40" s="59"/>
      <c r="AO40" s="59"/>
      <c r="AP40" s="60"/>
      <c r="AQ40" s="59"/>
    </row>
    <row r="41" spans="1:43" x14ac:dyDescent="0.25">
      <c r="A41" s="59"/>
      <c r="B41" s="59"/>
      <c r="C41" s="59"/>
      <c r="D41" s="59"/>
      <c r="E41" s="59"/>
      <c r="F41" s="59"/>
      <c r="G41" s="59"/>
      <c r="I41" s="59"/>
      <c r="J41" s="61"/>
      <c r="K41" s="59"/>
      <c r="L41" s="60"/>
      <c r="M41" s="59"/>
      <c r="O41" s="59"/>
      <c r="P41" s="59"/>
      <c r="Q41" s="59"/>
      <c r="R41" s="60"/>
      <c r="S41" s="59"/>
      <c r="U41" s="59"/>
      <c r="V41" s="59"/>
      <c r="W41" s="59"/>
      <c r="X41" s="60"/>
      <c r="Y41" s="59"/>
      <c r="AA41" s="59"/>
      <c r="AB41" s="59"/>
      <c r="AC41" s="59"/>
      <c r="AD41" s="60"/>
      <c r="AE41" s="59"/>
      <c r="AG41" s="59"/>
      <c r="AH41" s="59"/>
      <c r="AI41" s="59"/>
      <c r="AJ41" s="60"/>
      <c r="AK41" s="59"/>
      <c r="AM41" s="59"/>
      <c r="AN41" s="59"/>
      <c r="AO41" s="59"/>
      <c r="AP41" s="60"/>
      <c r="AQ41" s="59"/>
    </row>
    <row r="42" spans="1:43" x14ac:dyDescent="0.25">
      <c r="A42" s="59"/>
      <c r="B42" s="59"/>
      <c r="C42" s="59"/>
      <c r="D42" s="59"/>
      <c r="E42" s="59"/>
      <c r="F42" s="59"/>
      <c r="G42" s="59"/>
      <c r="I42" s="59"/>
      <c r="J42" s="61"/>
      <c r="K42" s="59"/>
      <c r="L42" s="60"/>
      <c r="M42" s="59"/>
      <c r="O42" s="59"/>
      <c r="P42" s="59"/>
      <c r="Q42" s="59"/>
      <c r="R42" s="60"/>
      <c r="S42" s="59"/>
      <c r="U42" s="59"/>
      <c r="V42" s="59"/>
      <c r="W42" s="59"/>
      <c r="X42" s="60"/>
      <c r="Y42" s="59"/>
      <c r="AA42" s="59"/>
      <c r="AB42" s="59"/>
      <c r="AC42" s="59"/>
      <c r="AD42" s="60"/>
      <c r="AE42" s="59"/>
      <c r="AG42" s="59"/>
      <c r="AH42" s="59"/>
      <c r="AI42" s="59"/>
      <c r="AJ42" s="60"/>
      <c r="AK42" s="59"/>
      <c r="AM42" s="59"/>
      <c r="AN42" s="59"/>
      <c r="AO42" s="59"/>
      <c r="AP42" s="60"/>
      <c r="AQ42" s="59"/>
    </row>
    <row r="43" spans="1:43" x14ac:dyDescent="0.25">
      <c r="A43" s="59"/>
      <c r="B43" s="59"/>
      <c r="C43" s="59"/>
      <c r="D43" s="59"/>
      <c r="E43" s="59"/>
      <c r="F43" s="59"/>
      <c r="G43" s="59"/>
      <c r="I43" s="59"/>
      <c r="J43" s="61"/>
      <c r="K43" s="59"/>
      <c r="L43" s="60"/>
      <c r="M43" s="59"/>
      <c r="O43" s="59"/>
      <c r="P43" s="59"/>
      <c r="Q43" s="59"/>
      <c r="R43" s="60"/>
      <c r="S43" s="59"/>
      <c r="U43" s="59"/>
      <c r="V43" s="59"/>
      <c r="W43" s="59"/>
      <c r="X43" s="60"/>
      <c r="Y43" s="59"/>
      <c r="AA43" s="59"/>
      <c r="AB43" s="59"/>
      <c r="AC43" s="59"/>
      <c r="AD43" s="60"/>
      <c r="AE43" s="59"/>
      <c r="AG43" s="59"/>
      <c r="AH43" s="59"/>
      <c r="AI43" s="59"/>
      <c r="AJ43" s="60"/>
      <c r="AK43" s="59"/>
      <c r="AM43" s="59"/>
      <c r="AN43" s="59"/>
      <c r="AO43" s="59"/>
      <c r="AP43" s="60"/>
      <c r="AQ43" s="59"/>
    </row>
    <row r="44" spans="1:43" x14ac:dyDescent="0.25">
      <c r="A44" s="59"/>
      <c r="B44" s="59"/>
      <c r="C44" s="59"/>
      <c r="D44" s="59"/>
      <c r="E44" s="59"/>
      <c r="F44" s="59"/>
      <c r="G44" s="59"/>
      <c r="I44" s="59"/>
      <c r="J44" s="61"/>
      <c r="K44" s="59"/>
      <c r="L44" s="60"/>
      <c r="M44" s="59"/>
      <c r="O44" s="59"/>
      <c r="P44" s="59"/>
      <c r="Q44" s="59"/>
      <c r="R44" s="60"/>
      <c r="S44" s="59"/>
      <c r="U44" s="59"/>
      <c r="V44" s="59"/>
      <c r="W44" s="59"/>
      <c r="X44" s="60"/>
      <c r="Y44" s="59"/>
      <c r="AA44" s="59"/>
      <c r="AB44" s="59"/>
      <c r="AC44" s="59"/>
      <c r="AD44" s="60"/>
      <c r="AE44" s="59"/>
      <c r="AG44" s="59"/>
      <c r="AH44" s="59"/>
      <c r="AI44" s="59"/>
      <c r="AJ44" s="60"/>
      <c r="AK44" s="59"/>
      <c r="AM44" s="59"/>
      <c r="AN44" s="59"/>
      <c r="AO44" s="59"/>
      <c r="AP44" s="60"/>
      <c r="AQ44" s="59"/>
    </row>
    <row r="45" spans="1:43" x14ac:dyDescent="0.25">
      <c r="A45" s="59"/>
      <c r="B45" s="59"/>
      <c r="C45" s="59"/>
      <c r="D45" s="59"/>
      <c r="E45" s="59"/>
      <c r="F45" s="59"/>
      <c r="G45" s="59"/>
      <c r="I45" s="59"/>
      <c r="J45" s="61"/>
      <c r="K45" s="59"/>
      <c r="L45" s="60"/>
      <c r="M45" s="59"/>
      <c r="O45" s="59"/>
      <c r="P45" s="59"/>
      <c r="Q45" s="59"/>
      <c r="R45" s="60"/>
      <c r="S45" s="59"/>
      <c r="U45" s="59"/>
      <c r="V45" s="59"/>
      <c r="W45" s="59"/>
      <c r="X45" s="60"/>
      <c r="Y45" s="59"/>
      <c r="AA45" s="59"/>
      <c r="AB45" s="59"/>
      <c r="AC45" s="59"/>
      <c r="AD45" s="60"/>
      <c r="AE45" s="59"/>
      <c r="AG45" s="59"/>
      <c r="AH45" s="59"/>
      <c r="AI45" s="59"/>
      <c r="AJ45" s="60"/>
      <c r="AK45" s="59"/>
      <c r="AM45" s="59"/>
      <c r="AN45" s="59"/>
      <c r="AO45" s="59"/>
      <c r="AP45" s="60"/>
      <c r="AQ45" s="59"/>
    </row>
    <row r="46" spans="1:43" x14ac:dyDescent="0.25">
      <c r="A46" s="59"/>
      <c r="B46" s="59"/>
      <c r="C46" s="59"/>
      <c r="D46" s="59"/>
      <c r="E46" s="59"/>
      <c r="F46" s="59"/>
      <c r="G46" s="59"/>
      <c r="I46" s="59"/>
      <c r="J46" s="61"/>
      <c r="K46" s="59"/>
      <c r="L46" s="60"/>
      <c r="M46" s="59"/>
      <c r="O46" s="59"/>
      <c r="P46" s="59"/>
      <c r="Q46" s="59"/>
      <c r="R46" s="60"/>
      <c r="S46" s="59"/>
      <c r="U46" s="59"/>
      <c r="V46" s="59"/>
      <c r="W46" s="59"/>
      <c r="X46" s="60"/>
      <c r="Y46" s="59"/>
      <c r="AA46" s="59"/>
      <c r="AB46" s="59"/>
      <c r="AC46" s="59"/>
      <c r="AD46" s="60"/>
      <c r="AE46" s="59"/>
      <c r="AG46" s="59"/>
      <c r="AH46" s="59"/>
      <c r="AI46" s="59"/>
      <c r="AJ46" s="60"/>
      <c r="AK46" s="59"/>
      <c r="AM46" s="59"/>
      <c r="AN46" s="59"/>
      <c r="AO46" s="59"/>
      <c r="AP46" s="60"/>
      <c r="AQ46" s="59"/>
    </row>
    <row r="47" spans="1:43" x14ac:dyDescent="0.25">
      <c r="A47" s="59"/>
      <c r="B47" s="59"/>
      <c r="C47" s="59"/>
      <c r="D47" s="59"/>
      <c r="E47" s="59"/>
      <c r="F47" s="59"/>
      <c r="G47" s="59"/>
      <c r="I47" s="59"/>
      <c r="J47" s="61"/>
      <c r="K47" s="59"/>
      <c r="L47" s="60"/>
      <c r="M47" s="59"/>
      <c r="O47" s="59"/>
      <c r="P47" s="59"/>
      <c r="Q47" s="59"/>
      <c r="R47" s="60"/>
      <c r="S47" s="59"/>
      <c r="U47" s="59"/>
      <c r="V47" s="59"/>
      <c r="W47" s="59"/>
      <c r="X47" s="60"/>
      <c r="Y47" s="59"/>
      <c r="AA47" s="59"/>
      <c r="AB47" s="59"/>
      <c r="AC47" s="59"/>
      <c r="AD47" s="60"/>
      <c r="AE47" s="59"/>
      <c r="AG47" s="59"/>
      <c r="AH47" s="59"/>
      <c r="AI47" s="59"/>
      <c r="AJ47" s="60"/>
      <c r="AK47" s="59"/>
      <c r="AM47" s="59"/>
      <c r="AN47" s="59"/>
      <c r="AO47" s="59"/>
      <c r="AP47" s="60"/>
      <c r="AQ47" s="59"/>
    </row>
    <row r="48" spans="1:43" x14ac:dyDescent="0.25">
      <c r="A48" s="59"/>
      <c r="B48" s="59"/>
      <c r="C48" s="59"/>
      <c r="D48" s="59"/>
      <c r="E48" s="59"/>
      <c r="F48" s="59"/>
      <c r="G48" s="59"/>
      <c r="I48" s="59"/>
      <c r="J48" s="61"/>
      <c r="K48" s="59"/>
      <c r="L48" s="60"/>
      <c r="M48" s="59"/>
      <c r="O48" s="59"/>
      <c r="P48" s="59"/>
      <c r="Q48" s="59"/>
      <c r="R48" s="60"/>
      <c r="S48" s="59"/>
      <c r="U48" s="59"/>
      <c r="V48" s="59"/>
      <c r="W48" s="59"/>
      <c r="X48" s="60"/>
      <c r="Y48" s="59"/>
      <c r="AA48" s="59"/>
      <c r="AB48" s="59"/>
      <c r="AC48" s="59"/>
      <c r="AD48" s="60"/>
      <c r="AE48" s="59"/>
      <c r="AG48" s="59"/>
      <c r="AH48" s="59"/>
      <c r="AI48" s="59"/>
      <c r="AJ48" s="60"/>
      <c r="AK48" s="59"/>
      <c r="AM48" s="59"/>
      <c r="AN48" s="59"/>
      <c r="AO48" s="59"/>
      <c r="AP48" s="60"/>
      <c r="AQ48" s="59"/>
    </row>
    <row r="49" spans="1:43" x14ac:dyDescent="0.25">
      <c r="A49" s="59"/>
      <c r="B49" s="59"/>
      <c r="C49" s="59"/>
      <c r="D49" s="59"/>
      <c r="E49" s="59"/>
      <c r="F49" s="59"/>
      <c r="G49" s="59"/>
      <c r="I49" s="59"/>
      <c r="J49" s="61"/>
      <c r="K49" s="59"/>
      <c r="L49" s="60"/>
      <c r="M49" s="59"/>
      <c r="O49" s="59"/>
      <c r="P49" s="59"/>
      <c r="Q49" s="59"/>
      <c r="R49" s="60"/>
      <c r="S49" s="59"/>
      <c r="U49" s="59"/>
      <c r="V49" s="59"/>
      <c r="W49" s="59"/>
      <c r="X49" s="60"/>
      <c r="Y49" s="59"/>
      <c r="AA49" s="59"/>
      <c r="AB49" s="59"/>
      <c r="AC49" s="59"/>
      <c r="AD49" s="60"/>
      <c r="AE49" s="59"/>
      <c r="AG49" s="59"/>
      <c r="AH49" s="59"/>
      <c r="AI49" s="59"/>
      <c r="AJ49" s="60"/>
      <c r="AK49" s="59"/>
      <c r="AM49" s="59"/>
      <c r="AN49" s="59"/>
      <c r="AO49" s="59"/>
      <c r="AP49" s="60"/>
      <c r="AQ49" s="59"/>
    </row>
    <row r="50" spans="1:43" x14ac:dyDescent="0.25">
      <c r="A50" s="59"/>
      <c r="B50" s="59"/>
      <c r="C50" s="59"/>
      <c r="D50" s="59"/>
      <c r="E50" s="59"/>
      <c r="F50" s="59"/>
      <c r="G50" s="59"/>
      <c r="I50" s="59"/>
      <c r="J50" s="61"/>
      <c r="K50" s="59"/>
      <c r="L50" s="60"/>
      <c r="M50" s="59"/>
      <c r="O50" s="59"/>
      <c r="P50" s="59"/>
      <c r="Q50" s="59"/>
      <c r="R50" s="60"/>
      <c r="S50" s="59"/>
      <c r="U50" s="59"/>
      <c r="V50" s="59"/>
      <c r="W50" s="59"/>
      <c r="X50" s="60"/>
      <c r="Y50" s="59"/>
      <c r="AA50" s="59"/>
      <c r="AB50" s="59"/>
      <c r="AC50" s="59"/>
      <c r="AD50" s="60"/>
      <c r="AE50" s="59"/>
      <c r="AG50" s="59"/>
      <c r="AH50" s="59"/>
      <c r="AI50" s="59"/>
      <c r="AJ50" s="60"/>
      <c r="AK50" s="59"/>
      <c r="AM50" s="59"/>
      <c r="AN50" s="59"/>
      <c r="AO50" s="59"/>
      <c r="AP50" s="60"/>
      <c r="AQ50" s="59"/>
    </row>
    <row r="51" spans="1:43" x14ac:dyDescent="0.25">
      <c r="A51" s="59"/>
      <c r="B51" s="59"/>
      <c r="C51" s="59"/>
      <c r="D51" s="59"/>
      <c r="E51" s="59"/>
      <c r="F51" s="59"/>
      <c r="G51" s="59"/>
      <c r="I51" s="59"/>
      <c r="J51" s="61"/>
      <c r="K51" s="59"/>
      <c r="L51" s="60"/>
      <c r="M51" s="59"/>
      <c r="O51" s="59"/>
      <c r="P51" s="59"/>
      <c r="Q51" s="59"/>
      <c r="R51" s="60"/>
      <c r="S51" s="59"/>
      <c r="U51" s="59"/>
      <c r="V51" s="59"/>
      <c r="W51" s="59"/>
      <c r="X51" s="60"/>
      <c r="Y51" s="59"/>
      <c r="AA51" s="59"/>
      <c r="AB51" s="59"/>
      <c r="AC51" s="59"/>
      <c r="AD51" s="60"/>
      <c r="AE51" s="59"/>
      <c r="AG51" s="59"/>
      <c r="AH51" s="59"/>
      <c r="AI51" s="59"/>
      <c r="AJ51" s="60"/>
      <c r="AK51" s="59"/>
      <c r="AM51" s="59"/>
      <c r="AN51" s="59"/>
      <c r="AO51" s="59"/>
      <c r="AP51" s="60"/>
      <c r="AQ51" s="59"/>
    </row>
    <row r="52" spans="1:43" x14ac:dyDescent="0.25">
      <c r="A52" s="59"/>
      <c r="B52" s="59"/>
      <c r="C52" s="59"/>
      <c r="D52" s="59"/>
      <c r="E52" s="59"/>
      <c r="F52" s="59"/>
      <c r="G52" s="59"/>
      <c r="I52" s="59"/>
      <c r="J52" s="61"/>
      <c r="K52" s="59"/>
      <c r="L52" s="60"/>
      <c r="M52" s="59"/>
      <c r="O52" s="59"/>
      <c r="P52" s="59"/>
      <c r="Q52" s="59"/>
      <c r="R52" s="60"/>
      <c r="S52" s="59"/>
      <c r="U52" s="59"/>
      <c r="V52" s="59"/>
      <c r="W52" s="59"/>
      <c r="X52" s="60"/>
      <c r="Y52" s="59"/>
      <c r="AA52" s="59"/>
      <c r="AB52" s="59"/>
      <c r="AC52" s="59"/>
      <c r="AD52" s="60"/>
      <c r="AE52" s="59"/>
      <c r="AG52" s="59"/>
      <c r="AH52" s="59"/>
      <c r="AI52" s="59"/>
      <c r="AJ52" s="60"/>
      <c r="AK52" s="59"/>
      <c r="AM52" s="59"/>
      <c r="AN52" s="59"/>
      <c r="AO52" s="59"/>
      <c r="AP52" s="60"/>
      <c r="AQ52" s="59"/>
    </row>
    <row r="53" spans="1:43" x14ac:dyDescent="0.25">
      <c r="A53" s="59"/>
      <c r="B53" s="59"/>
      <c r="C53" s="59"/>
      <c r="D53" s="59"/>
      <c r="E53" s="59"/>
      <c r="F53" s="59"/>
      <c r="G53" s="59"/>
      <c r="I53" s="59"/>
      <c r="J53" s="61"/>
      <c r="K53" s="59"/>
      <c r="L53" s="60"/>
      <c r="M53" s="59"/>
      <c r="O53" s="59"/>
      <c r="P53" s="59"/>
      <c r="Q53" s="59"/>
      <c r="R53" s="60"/>
      <c r="S53" s="59"/>
      <c r="U53" s="59"/>
      <c r="V53" s="59"/>
      <c r="W53" s="59"/>
      <c r="X53" s="60"/>
      <c r="Y53" s="59"/>
      <c r="AA53" s="59"/>
      <c r="AB53" s="59"/>
      <c r="AC53" s="59"/>
      <c r="AD53" s="60"/>
      <c r="AE53" s="59"/>
      <c r="AG53" s="59"/>
      <c r="AH53" s="59"/>
      <c r="AI53" s="59"/>
      <c r="AJ53" s="60"/>
      <c r="AK53" s="59"/>
      <c r="AM53" s="59"/>
      <c r="AN53" s="59"/>
      <c r="AO53" s="59"/>
      <c r="AP53" s="60"/>
      <c r="AQ53" s="59"/>
    </row>
    <row r="54" spans="1:43" x14ac:dyDescent="0.25">
      <c r="A54" s="59"/>
      <c r="B54" s="59"/>
      <c r="C54" s="59"/>
      <c r="D54" s="59"/>
      <c r="E54" s="59"/>
      <c r="F54" s="59"/>
      <c r="G54" s="59"/>
      <c r="I54" s="59"/>
      <c r="J54" s="61"/>
      <c r="K54" s="59"/>
      <c r="L54" s="60"/>
      <c r="M54" s="59"/>
      <c r="O54" s="59"/>
      <c r="P54" s="59"/>
      <c r="Q54" s="59"/>
      <c r="R54" s="60"/>
      <c r="S54" s="59"/>
      <c r="U54" s="59"/>
      <c r="V54" s="59"/>
      <c r="W54" s="59"/>
      <c r="X54" s="60"/>
      <c r="Y54" s="59"/>
      <c r="AA54" s="59"/>
      <c r="AB54" s="59"/>
      <c r="AC54" s="59"/>
      <c r="AD54" s="60"/>
      <c r="AE54" s="59"/>
      <c r="AG54" s="59"/>
      <c r="AH54" s="59"/>
      <c r="AI54" s="59"/>
      <c r="AJ54" s="60"/>
      <c r="AK54" s="59"/>
      <c r="AM54" s="59"/>
      <c r="AN54" s="59"/>
      <c r="AO54" s="59"/>
      <c r="AP54" s="60"/>
      <c r="AQ54" s="59"/>
    </row>
    <row r="55" spans="1:43" x14ac:dyDescent="0.25">
      <c r="A55" s="59"/>
      <c r="B55" s="59"/>
      <c r="C55" s="59"/>
      <c r="D55" s="59"/>
      <c r="E55" s="59"/>
      <c r="F55" s="59"/>
      <c r="G55" s="59"/>
      <c r="I55" s="59"/>
      <c r="J55" s="61"/>
      <c r="K55" s="59"/>
      <c r="L55" s="60"/>
      <c r="M55" s="59"/>
      <c r="O55" s="59"/>
      <c r="P55" s="59"/>
      <c r="Q55" s="59"/>
      <c r="R55" s="60"/>
      <c r="S55" s="59"/>
      <c r="U55" s="59"/>
      <c r="V55" s="59"/>
      <c r="W55" s="59"/>
      <c r="X55" s="60"/>
      <c r="Y55" s="59"/>
      <c r="AA55" s="59"/>
      <c r="AB55" s="59"/>
      <c r="AC55" s="59"/>
      <c r="AD55" s="60"/>
      <c r="AE55" s="59"/>
      <c r="AG55" s="59"/>
      <c r="AH55" s="59"/>
      <c r="AI55" s="59"/>
      <c r="AJ55" s="60"/>
      <c r="AK55" s="59"/>
      <c r="AM55" s="59"/>
      <c r="AN55" s="59"/>
      <c r="AO55" s="59"/>
      <c r="AP55" s="60"/>
      <c r="AQ55" s="59"/>
    </row>
    <row r="56" spans="1:43" x14ac:dyDescent="0.25">
      <c r="A56" s="59"/>
      <c r="B56" s="59"/>
      <c r="C56" s="59"/>
      <c r="D56" s="59"/>
      <c r="E56" s="59"/>
      <c r="F56" s="59"/>
      <c r="G56" s="59"/>
      <c r="I56" s="59"/>
      <c r="J56" s="61"/>
      <c r="K56" s="59"/>
      <c r="L56" s="60"/>
      <c r="M56" s="59"/>
      <c r="O56" s="59"/>
      <c r="P56" s="59"/>
      <c r="Q56" s="59"/>
      <c r="R56" s="60"/>
      <c r="S56" s="59"/>
      <c r="U56" s="59"/>
      <c r="V56" s="59"/>
      <c r="W56" s="59"/>
      <c r="X56" s="60"/>
      <c r="Y56" s="59"/>
      <c r="AA56" s="59"/>
      <c r="AB56" s="59"/>
      <c r="AC56" s="59"/>
      <c r="AD56" s="60"/>
      <c r="AE56" s="59"/>
      <c r="AG56" s="59"/>
      <c r="AH56" s="59"/>
      <c r="AI56" s="59"/>
      <c r="AJ56" s="60"/>
      <c r="AK56" s="59"/>
      <c r="AM56" s="59"/>
      <c r="AN56" s="59"/>
      <c r="AO56" s="59"/>
      <c r="AP56" s="60"/>
      <c r="AQ56" s="59"/>
    </row>
    <row r="57" spans="1:43" x14ac:dyDescent="0.25">
      <c r="A57" s="59"/>
      <c r="B57" s="59"/>
      <c r="C57" s="59"/>
      <c r="D57" s="59"/>
      <c r="E57" s="59"/>
      <c r="F57" s="59"/>
      <c r="G57" s="59"/>
      <c r="I57" s="59"/>
      <c r="J57" s="61"/>
      <c r="K57" s="59"/>
      <c r="L57" s="60"/>
      <c r="M57" s="59"/>
      <c r="O57" s="59"/>
      <c r="P57" s="59"/>
      <c r="Q57" s="59"/>
      <c r="R57" s="60"/>
      <c r="S57" s="59"/>
      <c r="U57" s="59"/>
      <c r="V57" s="59"/>
      <c r="W57" s="59"/>
      <c r="X57" s="60"/>
      <c r="Y57" s="59"/>
      <c r="AA57" s="59"/>
      <c r="AB57" s="59"/>
      <c r="AC57" s="59"/>
      <c r="AD57" s="60"/>
      <c r="AE57" s="59"/>
      <c r="AG57" s="59"/>
      <c r="AH57" s="59"/>
      <c r="AI57" s="59"/>
      <c r="AJ57" s="60"/>
      <c r="AK57" s="59"/>
      <c r="AM57" s="59"/>
      <c r="AN57" s="59"/>
      <c r="AO57" s="59"/>
      <c r="AP57" s="60"/>
      <c r="AQ57" s="59"/>
    </row>
    <row r="58" spans="1:43" x14ac:dyDescent="0.25">
      <c r="A58" s="59"/>
      <c r="B58" s="59"/>
      <c r="C58" s="59"/>
      <c r="D58" s="59"/>
      <c r="E58" s="59"/>
      <c r="F58" s="59"/>
      <c r="G58" s="59"/>
      <c r="I58" s="59"/>
      <c r="J58" s="61"/>
      <c r="K58" s="59"/>
      <c r="L58" s="60"/>
      <c r="M58" s="59"/>
      <c r="O58" s="59"/>
      <c r="P58" s="59"/>
      <c r="Q58" s="59"/>
      <c r="R58" s="60"/>
      <c r="S58" s="59"/>
      <c r="U58" s="59"/>
      <c r="V58" s="59"/>
      <c r="W58" s="59"/>
      <c r="X58" s="60"/>
      <c r="Y58" s="59"/>
      <c r="AA58" s="59"/>
      <c r="AB58" s="59"/>
      <c r="AC58" s="59"/>
      <c r="AD58" s="60"/>
      <c r="AE58" s="59"/>
      <c r="AG58" s="59"/>
      <c r="AH58" s="59"/>
      <c r="AI58" s="59"/>
      <c r="AJ58" s="60"/>
      <c r="AK58" s="59"/>
      <c r="AM58" s="59"/>
      <c r="AN58" s="59"/>
      <c r="AO58" s="59"/>
      <c r="AP58" s="60"/>
      <c r="AQ58" s="59"/>
    </row>
    <row r="59" spans="1:43" x14ac:dyDescent="0.25">
      <c r="A59" s="59"/>
      <c r="B59" s="59"/>
      <c r="C59" s="59"/>
      <c r="D59" s="59"/>
      <c r="E59" s="59"/>
      <c r="F59" s="59"/>
      <c r="G59" s="59"/>
      <c r="I59" s="59"/>
      <c r="J59" s="61"/>
      <c r="K59" s="59"/>
      <c r="L59" s="60"/>
      <c r="M59" s="59"/>
      <c r="O59" s="59"/>
      <c r="P59" s="59"/>
      <c r="Q59" s="59"/>
      <c r="R59" s="60"/>
      <c r="S59" s="59"/>
      <c r="U59" s="59"/>
      <c r="V59" s="59"/>
      <c r="W59" s="59"/>
      <c r="X59" s="60"/>
      <c r="Y59" s="59"/>
      <c r="AA59" s="59"/>
      <c r="AB59" s="59"/>
      <c r="AC59" s="59"/>
      <c r="AD59" s="60"/>
      <c r="AE59" s="59"/>
      <c r="AG59" s="59"/>
      <c r="AH59" s="59"/>
      <c r="AI59" s="59"/>
      <c r="AJ59" s="60"/>
      <c r="AK59" s="59"/>
      <c r="AM59" s="59"/>
      <c r="AN59" s="59"/>
      <c r="AO59" s="59"/>
      <c r="AP59" s="60"/>
      <c r="AQ59" s="59"/>
    </row>
    <row r="60" spans="1:43" x14ac:dyDescent="0.25">
      <c r="A60" s="59"/>
      <c r="B60" s="59"/>
      <c r="C60" s="59"/>
      <c r="D60" s="59"/>
      <c r="E60" s="59"/>
      <c r="F60" s="59"/>
      <c r="G60" s="59"/>
      <c r="I60" s="59"/>
      <c r="J60" s="61"/>
      <c r="K60" s="59"/>
      <c r="L60" s="60"/>
      <c r="M60" s="59"/>
      <c r="O60" s="59"/>
      <c r="P60" s="59"/>
      <c r="Q60" s="59"/>
      <c r="R60" s="60"/>
      <c r="S60" s="59"/>
      <c r="U60" s="59"/>
      <c r="V60" s="59"/>
      <c r="W60" s="59"/>
      <c r="X60" s="60"/>
      <c r="Y60" s="59"/>
      <c r="AA60" s="59"/>
      <c r="AB60" s="59"/>
      <c r="AC60" s="59"/>
      <c r="AD60" s="60"/>
      <c r="AE60" s="59"/>
      <c r="AG60" s="59"/>
      <c r="AH60" s="59"/>
      <c r="AI60" s="59"/>
      <c r="AJ60" s="60"/>
      <c r="AK60" s="59"/>
      <c r="AM60" s="59"/>
      <c r="AN60" s="59"/>
      <c r="AO60" s="59"/>
      <c r="AP60" s="60"/>
      <c r="AQ60" s="59"/>
    </row>
    <row r="61" spans="1:43" x14ac:dyDescent="0.25">
      <c r="A61" s="59"/>
      <c r="B61" s="59"/>
      <c r="C61" s="59"/>
      <c r="D61" s="59"/>
      <c r="E61" s="59"/>
      <c r="F61" s="59"/>
      <c r="G61" s="59"/>
      <c r="I61" s="59"/>
      <c r="J61" s="61"/>
      <c r="K61" s="59"/>
      <c r="L61" s="60"/>
      <c r="M61" s="59"/>
      <c r="O61" s="59"/>
      <c r="P61" s="59"/>
      <c r="Q61" s="59"/>
      <c r="R61" s="60"/>
      <c r="S61" s="59"/>
      <c r="U61" s="59"/>
      <c r="V61" s="59"/>
      <c r="W61" s="59"/>
      <c r="X61" s="60"/>
      <c r="Y61" s="59"/>
      <c r="AA61" s="59"/>
      <c r="AB61" s="59"/>
      <c r="AC61" s="59"/>
      <c r="AD61" s="60"/>
      <c r="AE61" s="59"/>
      <c r="AG61" s="59"/>
      <c r="AH61" s="59"/>
      <c r="AI61" s="59"/>
      <c r="AJ61" s="60"/>
      <c r="AK61" s="59"/>
      <c r="AM61" s="59"/>
      <c r="AN61" s="59"/>
      <c r="AO61" s="59"/>
      <c r="AP61" s="60"/>
      <c r="AQ61" s="59"/>
    </row>
    <row r="62" spans="1:43" x14ac:dyDescent="0.25">
      <c r="A62" s="59"/>
      <c r="B62" s="59"/>
      <c r="C62" s="59"/>
      <c r="D62" s="59"/>
      <c r="E62" s="59"/>
      <c r="F62" s="59"/>
      <c r="G62" s="59"/>
      <c r="I62" s="59"/>
      <c r="J62" s="61"/>
      <c r="K62" s="59"/>
      <c r="L62" s="60"/>
      <c r="M62" s="59"/>
      <c r="O62" s="59"/>
      <c r="P62" s="59"/>
      <c r="Q62" s="59"/>
      <c r="R62" s="60"/>
      <c r="S62" s="59"/>
      <c r="U62" s="59"/>
      <c r="V62" s="59"/>
      <c r="W62" s="59"/>
      <c r="X62" s="60"/>
      <c r="Y62" s="59"/>
      <c r="AA62" s="59"/>
      <c r="AB62" s="59"/>
      <c r="AC62" s="59"/>
      <c r="AD62" s="60"/>
      <c r="AE62" s="59"/>
      <c r="AG62" s="59"/>
      <c r="AH62" s="59"/>
      <c r="AI62" s="59"/>
      <c r="AJ62" s="60"/>
      <c r="AK62" s="59"/>
      <c r="AM62" s="59"/>
      <c r="AN62" s="59"/>
      <c r="AO62" s="59"/>
      <c r="AP62" s="60"/>
      <c r="AQ62" s="59"/>
    </row>
    <row r="63" spans="1:43" x14ac:dyDescent="0.25">
      <c r="A63" s="59"/>
      <c r="B63" s="59"/>
      <c r="C63" s="59"/>
      <c r="D63" s="59"/>
      <c r="E63" s="59"/>
      <c r="F63" s="59"/>
      <c r="G63" s="59"/>
      <c r="I63" s="59"/>
      <c r="J63" s="61"/>
      <c r="K63" s="59"/>
      <c r="L63" s="60"/>
      <c r="M63" s="59"/>
      <c r="O63" s="59"/>
      <c r="P63" s="59"/>
      <c r="Q63" s="59"/>
      <c r="R63" s="60"/>
      <c r="S63" s="59"/>
      <c r="U63" s="59"/>
      <c r="V63" s="59"/>
      <c r="W63" s="59"/>
      <c r="X63" s="60"/>
      <c r="Y63" s="59"/>
      <c r="AA63" s="59"/>
      <c r="AB63" s="59"/>
      <c r="AC63" s="59"/>
      <c r="AD63" s="60"/>
      <c r="AE63" s="59"/>
      <c r="AG63" s="59"/>
      <c r="AH63" s="59"/>
      <c r="AI63" s="59"/>
      <c r="AJ63" s="60"/>
      <c r="AK63" s="59"/>
      <c r="AM63" s="59"/>
      <c r="AN63" s="59"/>
      <c r="AO63" s="59"/>
      <c r="AP63" s="60"/>
      <c r="AQ63" s="59"/>
    </row>
    <row r="64" spans="1:43" x14ac:dyDescent="0.25">
      <c r="A64" s="59"/>
      <c r="B64" s="59"/>
      <c r="C64" s="59"/>
      <c r="D64" s="59"/>
      <c r="E64" s="59"/>
      <c r="F64" s="59"/>
      <c r="G64" s="59"/>
      <c r="I64" s="59"/>
      <c r="J64" s="61"/>
      <c r="K64" s="59"/>
      <c r="L64" s="60"/>
      <c r="M64" s="59"/>
      <c r="O64" s="59"/>
      <c r="P64" s="59"/>
      <c r="Q64" s="59"/>
      <c r="R64" s="60"/>
      <c r="S64" s="59"/>
      <c r="U64" s="59"/>
      <c r="V64" s="59"/>
      <c r="W64" s="59"/>
      <c r="X64" s="60"/>
      <c r="Y64" s="59"/>
      <c r="AA64" s="59"/>
      <c r="AB64" s="59"/>
      <c r="AC64" s="59"/>
      <c r="AD64" s="60"/>
      <c r="AE64" s="59"/>
      <c r="AG64" s="59"/>
      <c r="AH64" s="59"/>
      <c r="AI64" s="59"/>
      <c r="AJ64" s="60"/>
      <c r="AK64" s="59"/>
      <c r="AM64" s="59"/>
      <c r="AN64" s="59"/>
      <c r="AO64" s="59"/>
      <c r="AP64" s="60"/>
      <c r="AQ64" s="59"/>
    </row>
    <row r="65" spans="9:43" x14ac:dyDescent="0.25">
      <c r="I65" s="59"/>
      <c r="J65" s="61"/>
      <c r="K65" s="59"/>
      <c r="L65" s="60"/>
      <c r="M65" s="59"/>
      <c r="O65" s="59"/>
      <c r="P65" s="59"/>
      <c r="Q65" s="59"/>
      <c r="R65" s="60"/>
      <c r="S65" s="59"/>
      <c r="U65" s="59"/>
      <c r="V65" s="59"/>
      <c r="W65" s="59"/>
      <c r="X65" s="60"/>
      <c r="Y65" s="59"/>
      <c r="AA65" s="59"/>
      <c r="AB65" s="59"/>
      <c r="AC65" s="59"/>
      <c r="AD65" s="60"/>
      <c r="AE65" s="59"/>
      <c r="AG65" s="59"/>
      <c r="AH65" s="59"/>
      <c r="AI65" s="59"/>
      <c r="AJ65" s="60"/>
      <c r="AK65" s="59"/>
      <c r="AM65" s="59"/>
      <c r="AN65" s="59"/>
      <c r="AO65" s="59"/>
      <c r="AP65" s="60"/>
      <c r="AQ65" s="59"/>
    </row>
    <row r="66" spans="9:43" x14ac:dyDescent="0.25">
      <c r="I66" s="59"/>
      <c r="J66" s="61"/>
      <c r="K66" s="59"/>
      <c r="L66" s="60"/>
      <c r="M66" s="59"/>
      <c r="O66" s="59"/>
      <c r="P66" s="59"/>
      <c r="Q66" s="59"/>
      <c r="R66" s="60"/>
      <c r="S66" s="59"/>
      <c r="U66" s="59"/>
      <c r="V66" s="59"/>
      <c r="W66" s="59"/>
      <c r="X66" s="60"/>
      <c r="Y66" s="59"/>
      <c r="AA66" s="59"/>
      <c r="AB66" s="59"/>
      <c r="AC66" s="59"/>
      <c r="AD66" s="60"/>
      <c r="AE66" s="59"/>
      <c r="AG66" s="59"/>
      <c r="AH66" s="59"/>
      <c r="AI66" s="59"/>
      <c r="AJ66" s="60"/>
      <c r="AK66" s="59"/>
      <c r="AM66" s="59"/>
      <c r="AN66" s="59"/>
      <c r="AO66" s="59"/>
      <c r="AP66" s="60"/>
      <c r="AQ66" s="59"/>
    </row>
    <row r="67" spans="9:43" x14ac:dyDescent="0.25">
      <c r="I67" s="59"/>
      <c r="J67" s="61"/>
      <c r="K67" s="59"/>
      <c r="L67" s="60"/>
      <c r="M67" s="59"/>
      <c r="O67" s="59"/>
      <c r="P67" s="59"/>
      <c r="Q67" s="59"/>
      <c r="R67" s="60"/>
      <c r="S67" s="59"/>
      <c r="U67" s="59"/>
      <c r="V67" s="59"/>
      <c r="W67" s="59"/>
      <c r="X67" s="60"/>
      <c r="Y67" s="59"/>
      <c r="AA67" s="59"/>
      <c r="AB67" s="59"/>
      <c r="AC67" s="59"/>
      <c r="AD67" s="60"/>
      <c r="AE67" s="59"/>
      <c r="AG67" s="59"/>
      <c r="AH67" s="59"/>
      <c r="AI67" s="59"/>
      <c r="AJ67" s="60"/>
      <c r="AK67" s="59"/>
      <c r="AM67" s="59"/>
      <c r="AN67" s="59"/>
      <c r="AO67" s="59"/>
      <c r="AP67" s="60"/>
      <c r="AQ67" s="59"/>
    </row>
    <row r="68" spans="9:43" x14ac:dyDescent="0.25">
      <c r="I68" s="59"/>
      <c r="J68" s="61"/>
      <c r="K68" s="59"/>
      <c r="L68" s="60"/>
      <c r="M68" s="59"/>
      <c r="O68" s="59"/>
      <c r="P68" s="59"/>
      <c r="Q68" s="59"/>
      <c r="R68" s="60"/>
      <c r="S68" s="59"/>
      <c r="U68" s="59"/>
      <c r="V68" s="59"/>
      <c r="W68" s="59"/>
      <c r="X68" s="60"/>
      <c r="Y68" s="59"/>
      <c r="AA68" s="59"/>
      <c r="AB68" s="59"/>
      <c r="AC68" s="59"/>
      <c r="AD68" s="60"/>
      <c r="AE68" s="59"/>
      <c r="AG68" s="59"/>
      <c r="AH68" s="59"/>
      <c r="AI68" s="59"/>
      <c r="AJ68" s="60"/>
      <c r="AK68" s="59"/>
      <c r="AM68" s="59"/>
      <c r="AN68" s="59"/>
      <c r="AO68" s="59"/>
      <c r="AP68" s="60"/>
      <c r="AQ68" s="59"/>
    </row>
    <row r="69" spans="9:43" x14ac:dyDescent="0.25">
      <c r="I69" s="59"/>
      <c r="J69" s="61"/>
      <c r="K69" s="59"/>
      <c r="L69" s="60"/>
      <c r="M69" s="59"/>
      <c r="O69" s="59"/>
      <c r="P69" s="59"/>
      <c r="Q69" s="59"/>
      <c r="R69" s="60"/>
      <c r="S69" s="59"/>
      <c r="U69" s="59"/>
      <c r="V69" s="59"/>
      <c r="W69" s="59"/>
      <c r="X69" s="60"/>
      <c r="Y69" s="59"/>
      <c r="AA69" s="59"/>
      <c r="AB69" s="59"/>
      <c r="AC69" s="59"/>
      <c r="AD69" s="60"/>
      <c r="AE69" s="59"/>
      <c r="AG69" s="59"/>
      <c r="AH69" s="59"/>
      <c r="AI69" s="59"/>
      <c r="AJ69" s="60"/>
      <c r="AK69" s="59"/>
      <c r="AM69" s="59"/>
      <c r="AN69" s="59"/>
      <c r="AO69" s="59"/>
      <c r="AP69" s="60"/>
      <c r="AQ69" s="59"/>
    </row>
    <row r="70" spans="9:43" x14ac:dyDescent="0.25">
      <c r="I70" s="59"/>
      <c r="J70" s="61"/>
      <c r="K70" s="59"/>
      <c r="L70" s="60"/>
      <c r="M70" s="59"/>
      <c r="O70" s="59"/>
      <c r="P70" s="59"/>
      <c r="Q70" s="59"/>
      <c r="R70" s="60"/>
      <c r="S70" s="59"/>
      <c r="U70" s="59"/>
      <c r="V70" s="59"/>
      <c r="W70" s="59"/>
      <c r="X70" s="60"/>
      <c r="Y70" s="59"/>
      <c r="AA70" s="59"/>
      <c r="AB70" s="59"/>
      <c r="AC70" s="59"/>
      <c r="AD70" s="60"/>
      <c r="AE70" s="59"/>
      <c r="AG70" s="59"/>
      <c r="AH70" s="59"/>
      <c r="AI70" s="59"/>
      <c r="AJ70" s="60"/>
      <c r="AK70" s="59"/>
      <c r="AM70" s="59"/>
      <c r="AN70" s="59"/>
      <c r="AO70" s="59"/>
      <c r="AP70" s="60"/>
      <c r="AQ70" s="59"/>
    </row>
    <row r="71" spans="9:43" x14ac:dyDescent="0.25">
      <c r="I71" s="59"/>
      <c r="J71" s="61"/>
      <c r="K71" s="59"/>
      <c r="L71" s="60"/>
      <c r="M71" s="59"/>
      <c r="O71" s="59"/>
      <c r="P71" s="59"/>
      <c r="Q71" s="59"/>
      <c r="R71" s="60"/>
      <c r="S71" s="59"/>
      <c r="U71" s="59"/>
      <c r="V71" s="59"/>
      <c r="W71" s="59"/>
      <c r="X71" s="60"/>
      <c r="Y71" s="59"/>
      <c r="AA71" s="59"/>
      <c r="AB71" s="59"/>
      <c r="AC71" s="59"/>
      <c r="AD71" s="60"/>
      <c r="AE71" s="59"/>
      <c r="AG71" s="59"/>
      <c r="AH71" s="59"/>
      <c r="AI71" s="59"/>
      <c r="AJ71" s="60"/>
      <c r="AK71" s="59"/>
      <c r="AM71" s="59"/>
      <c r="AN71" s="59"/>
      <c r="AO71" s="59"/>
      <c r="AP71" s="60"/>
      <c r="AQ71" s="59"/>
    </row>
    <row r="72" spans="9:43" x14ac:dyDescent="0.25">
      <c r="I72" s="59"/>
      <c r="J72" s="61"/>
      <c r="K72" s="59"/>
      <c r="L72" s="60"/>
      <c r="M72" s="59"/>
      <c r="O72" s="59"/>
      <c r="P72" s="59"/>
      <c r="Q72" s="59"/>
      <c r="R72" s="60"/>
      <c r="S72" s="59"/>
      <c r="U72" s="59"/>
      <c r="V72" s="59"/>
      <c r="W72" s="59"/>
      <c r="X72" s="60"/>
      <c r="Y72" s="59"/>
      <c r="AA72" s="59"/>
      <c r="AB72" s="59"/>
      <c r="AC72" s="59"/>
      <c r="AD72" s="60"/>
      <c r="AE72" s="59"/>
      <c r="AG72" s="59"/>
      <c r="AH72" s="59"/>
      <c r="AI72" s="59"/>
      <c r="AJ72" s="60"/>
      <c r="AK72" s="59"/>
      <c r="AM72" s="59"/>
      <c r="AN72" s="59"/>
      <c r="AO72" s="59"/>
      <c r="AP72" s="60"/>
      <c r="AQ72" s="59"/>
    </row>
    <row r="73" spans="9:43" x14ac:dyDescent="0.25">
      <c r="I73" s="59"/>
      <c r="J73" s="61"/>
      <c r="K73" s="59"/>
      <c r="L73" s="60"/>
      <c r="M73" s="59"/>
      <c r="O73" s="59"/>
      <c r="P73" s="59"/>
      <c r="Q73" s="59"/>
      <c r="R73" s="60"/>
      <c r="S73" s="59"/>
      <c r="U73" s="59"/>
      <c r="V73" s="59"/>
      <c r="W73" s="59"/>
      <c r="X73" s="60"/>
      <c r="Y73" s="59"/>
      <c r="AA73" s="59"/>
      <c r="AB73" s="59"/>
      <c r="AC73" s="59"/>
      <c r="AD73" s="60"/>
      <c r="AE73" s="59"/>
      <c r="AG73" s="59"/>
      <c r="AH73" s="59"/>
      <c r="AI73" s="59"/>
      <c r="AJ73" s="60"/>
      <c r="AK73" s="59"/>
      <c r="AM73" s="59"/>
      <c r="AN73" s="59"/>
      <c r="AO73" s="59"/>
      <c r="AP73" s="60"/>
      <c r="AQ73" s="59"/>
    </row>
    <row r="74" spans="9:43" x14ac:dyDescent="0.25">
      <c r="I74" s="59"/>
      <c r="J74" s="61"/>
      <c r="K74" s="59"/>
      <c r="L74" s="60"/>
      <c r="M74" s="59"/>
      <c r="O74" s="59"/>
      <c r="P74" s="59"/>
      <c r="Q74" s="59"/>
      <c r="R74" s="60"/>
      <c r="S74" s="59"/>
      <c r="U74" s="59"/>
      <c r="V74" s="59"/>
      <c r="W74" s="59"/>
      <c r="X74" s="60"/>
      <c r="Y74" s="59"/>
      <c r="AA74" s="59"/>
      <c r="AB74" s="59"/>
      <c r="AC74" s="59"/>
      <c r="AD74" s="60"/>
      <c r="AE74" s="59"/>
      <c r="AG74" s="59"/>
      <c r="AH74" s="59"/>
      <c r="AI74" s="59"/>
      <c r="AJ74" s="60"/>
      <c r="AK74" s="59"/>
      <c r="AM74" s="59"/>
      <c r="AN74" s="59"/>
      <c r="AO74" s="59"/>
      <c r="AP74" s="60"/>
      <c r="AQ74" s="59"/>
    </row>
    <row r="75" spans="9:43" x14ac:dyDescent="0.25">
      <c r="I75" s="59"/>
      <c r="J75" s="61"/>
      <c r="K75" s="59"/>
      <c r="L75" s="60"/>
      <c r="M75" s="59"/>
      <c r="O75" s="59"/>
      <c r="P75" s="59"/>
      <c r="Q75" s="59"/>
      <c r="R75" s="60"/>
      <c r="S75" s="59"/>
      <c r="U75" s="59"/>
      <c r="V75" s="59"/>
      <c r="W75" s="59"/>
      <c r="X75" s="60"/>
      <c r="Y75" s="59"/>
      <c r="AA75" s="59"/>
      <c r="AB75" s="59"/>
      <c r="AC75" s="59"/>
      <c r="AD75" s="60"/>
      <c r="AE75" s="59"/>
      <c r="AG75" s="59"/>
      <c r="AH75" s="59"/>
      <c r="AI75" s="59"/>
      <c r="AJ75" s="60"/>
      <c r="AK75" s="59"/>
      <c r="AM75" s="59"/>
      <c r="AN75" s="59"/>
      <c r="AO75" s="59"/>
      <c r="AP75" s="60"/>
      <c r="AQ75" s="59"/>
    </row>
    <row r="76" spans="9:43" x14ac:dyDescent="0.25">
      <c r="I76" s="59"/>
      <c r="J76" s="59"/>
      <c r="K76" s="59"/>
      <c r="L76" s="60"/>
      <c r="M76" s="59"/>
      <c r="O76" s="59"/>
      <c r="P76" s="59"/>
      <c r="Q76" s="59"/>
      <c r="R76" s="60"/>
      <c r="S76" s="59"/>
      <c r="U76" s="59"/>
      <c r="V76" s="59"/>
      <c r="W76" s="59"/>
      <c r="X76" s="60"/>
      <c r="Y76" s="59"/>
      <c r="AA76" s="59"/>
      <c r="AB76" s="59"/>
      <c r="AC76" s="59"/>
      <c r="AD76" s="60"/>
      <c r="AE76" s="59"/>
      <c r="AG76" s="59"/>
      <c r="AH76" s="59"/>
      <c r="AI76" s="59"/>
      <c r="AJ76" s="60"/>
      <c r="AK76" s="59"/>
      <c r="AM76" s="59"/>
      <c r="AN76" s="59"/>
      <c r="AO76" s="59"/>
      <c r="AP76" s="60"/>
      <c r="AQ76" s="59"/>
    </row>
    <row r="77" spans="9:43" x14ac:dyDescent="0.25">
      <c r="I77" s="59"/>
      <c r="J77" s="59"/>
      <c r="K77" s="59"/>
      <c r="L77" s="60"/>
      <c r="M77" s="59"/>
      <c r="O77" s="59"/>
      <c r="P77" s="59"/>
      <c r="Q77" s="59"/>
      <c r="R77" s="60"/>
      <c r="S77" s="59"/>
      <c r="U77" s="59"/>
      <c r="V77" s="59"/>
      <c r="W77" s="59"/>
      <c r="X77" s="60"/>
      <c r="Y77" s="59"/>
      <c r="AA77" s="59"/>
      <c r="AB77" s="59"/>
      <c r="AC77" s="59"/>
      <c r="AD77" s="60"/>
      <c r="AE77" s="59"/>
      <c r="AG77" s="59"/>
      <c r="AH77" s="59"/>
      <c r="AI77" s="59"/>
      <c r="AJ77" s="60"/>
      <c r="AK77" s="59"/>
      <c r="AM77" s="59"/>
      <c r="AN77" s="59"/>
      <c r="AO77" s="59"/>
      <c r="AP77" s="60"/>
      <c r="AQ77" s="59"/>
    </row>
    <row r="78" spans="9:43" x14ac:dyDescent="0.25">
      <c r="I78" s="59"/>
      <c r="J78" s="59"/>
      <c r="K78" s="59"/>
      <c r="L78" s="60"/>
      <c r="M78" s="59"/>
      <c r="O78" s="59"/>
      <c r="P78" s="59"/>
      <c r="Q78" s="59"/>
      <c r="R78" s="60"/>
      <c r="S78" s="59"/>
      <c r="U78" s="59"/>
      <c r="V78" s="59"/>
      <c r="W78" s="59"/>
      <c r="X78" s="60"/>
      <c r="Y78" s="59"/>
      <c r="AA78" s="59"/>
      <c r="AB78" s="59"/>
      <c r="AC78" s="59"/>
      <c r="AD78" s="60"/>
      <c r="AE78" s="59"/>
      <c r="AG78" s="59"/>
      <c r="AH78" s="59"/>
      <c r="AI78" s="59"/>
      <c r="AJ78" s="60"/>
      <c r="AK78" s="59"/>
      <c r="AM78" s="59"/>
      <c r="AN78" s="59"/>
      <c r="AO78" s="59"/>
      <c r="AP78" s="60"/>
      <c r="AQ78" s="59"/>
    </row>
    <row r="79" spans="9:43" x14ac:dyDescent="0.25">
      <c r="I79" s="59"/>
      <c r="J79" s="59"/>
      <c r="K79" s="59"/>
      <c r="L79" s="60"/>
      <c r="M79" s="59"/>
      <c r="O79" s="59"/>
      <c r="P79" s="59"/>
      <c r="Q79" s="59"/>
      <c r="R79" s="60"/>
      <c r="S79" s="59"/>
      <c r="U79" s="59"/>
      <c r="V79" s="59"/>
      <c r="W79" s="59"/>
      <c r="X79" s="60"/>
      <c r="Y79" s="59"/>
      <c r="AA79" s="59"/>
      <c r="AB79" s="59"/>
      <c r="AC79" s="59"/>
      <c r="AD79" s="60"/>
      <c r="AE79" s="59"/>
      <c r="AG79" s="59"/>
      <c r="AH79" s="59"/>
      <c r="AI79" s="59"/>
      <c r="AJ79" s="60"/>
      <c r="AK79" s="59"/>
      <c r="AM79" s="59"/>
      <c r="AN79" s="59"/>
      <c r="AO79" s="59"/>
      <c r="AP79" s="60"/>
      <c r="AQ79" s="59"/>
    </row>
    <row r="80" spans="9:43" x14ac:dyDescent="0.25">
      <c r="I80" s="59"/>
      <c r="J80" s="59"/>
      <c r="K80" s="59"/>
      <c r="L80" s="60"/>
      <c r="M80" s="59"/>
      <c r="O80" s="59"/>
      <c r="P80" s="59"/>
      <c r="Q80" s="59"/>
      <c r="R80" s="60"/>
      <c r="S80" s="59"/>
      <c r="U80" s="59"/>
      <c r="V80" s="59"/>
      <c r="W80" s="59"/>
      <c r="X80" s="60"/>
      <c r="Y80" s="59"/>
      <c r="AA80" s="59"/>
      <c r="AB80" s="59"/>
      <c r="AC80" s="59"/>
      <c r="AD80" s="60"/>
      <c r="AE80" s="59"/>
      <c r="AG80" s="59"/>
      <c r="AH80" s="59"/>
      <c r="AI80" s="59"/>
      <c r="AJ80" s="60"/>
      <c r="AK80" s="59"/>
      <c r="AM80" s="59"/>
      <c r="AN80" s="59"/>
      <c r="AO80" s="59"/>
      <c r="AP80" s="60"/>
      <c r="AQ80" s="59"/>
    </row>
  </sheetData>
  <sheetProtection algorithmName="SHA-512" hashValue="tOmPfYglPi7jU0QEepsAADbKEn1YLfKPiMGk12Jc6gKOuegWBcauAFXsdFFel2O99PYQXx3alSnw7T08g9Ku7A==" saltValue="rVdgRxFpcH7PCOnwdq3ZSQ==" spinCount="100000" sheet="1" objects="1" scenarios="1"/>
  <mergeCells count="4">
    <mergeCell ref="B2:C2"/>
    <mergeCell ref="P7:X8"/>
    <mergeCell ref="A12:G12"/>
    <mergeCell ref="I28:AQ28"/>
  </mergeCells>
  <conditionalFormatting sqref="M51 S51 Y51 AK51 AQ51 M60:M62 S60:S62 Y60:Y62 AK60:AK62 AQ60:AQ62 M53:M56 S53:S56 Y53:Y56 AK53:AK56 AQ53:AQ56 M48:M49 S48:S49 Y48:Y49 AK48:AK49 AQ48:AQ49 M45:M46 S45:S46 Y45:Y46 AK45:AK46 AQ45:AQ46 M34:M43 S34:S43 Y34:Y43 AK34:AK43 AQ34:AQ43 AE32:AE37">
    <cfRule type="containsText" dxfId="144" priority="20" operator="containsText" text="PASS">
      <formula>NOT(ISERROR(SEARCH("PASS",M32)))</formula>
    </cfRule>
    <cfRule type="cellIs" dxfId="143" priority="21" operator="greaterThan">
      <formula>352000</formula>
    </cfRule>
  </conditionalFormatting>
  <conditionalFormatting sqref="AK32:AK37">
    <cfRule type="containsText" dxfId="142" priority="18" operator="containsText" text="PASS">
      <formula>NOT(ISERROR(SEARCH("PASS",AK32)))</formula>
    </cfRule>
    <cfRule type="cellIs" dxfId="141" priority="19" operator="greaterThan">
      <formula>352000</formula>
    </cfRule>
  </conditionalFormatting>
  <conditionalFormatting sqref="AQ32:AQ37">
    <cfRule type="containsText" dxfId="140" priority="16" operator="containsText" text="PASS">
      <formula>NOT(ISERROR(SEARCH("PASS",AQ32)))</formula>
    </cfRule>
    <cfRule type="cellIs" dxfId="139" priority="17" operator="greaterThan">
      <formula>352000</formula>
    </cfRule>
  </conditionalFormatting>
  <conditionalFormatting sqref="M32:M37">
    <cfRule type="containsText" dxfId="138" priority="14" operator="containsText" text="PASS">
      <formula>NOT(ISERROR(SEARCH("PASS",M32)))</formula>
    </cfRule>
    <cfRule type="cellIs" dxfId="137" priority="15" operator="greaterThan">
      <formula>352000</formula>
    </cfRule>
  </conditionalFormatting>
  <conditionalFormatting sqref="S32:S37">
    <cfRule type="containsText" dxfId="136" priority="12" operator="containsText" text="PASS">
      <formula>NOT(ISERROR(SEARCH("PASS",S32)))</formula>
    </cfRule>
    <cfRule type="cellIs" dxfId="135" priority="13" operator="greaterThan">
      <formula>352000</formula>
    </cfRule>
  </conditionalFormatting>
  <conditionalFormatting sqref="Y32:Y37">
    <cfRule type="containsText" dxfId="134" priority="10" operator="containsText" text="PASS">
      <formula>NOT(ISERROR(SEARCH("PASS",Y32)))</formula>
    </cfRule>
    <cfRule type="cellIs" dxfId="133" priority="11" operator="greaterThan">
      <formula>352000</formula>
    </cfRule>
  </conditionalFormatting>
  <conditionalFormatting sqref="B15:B20">
    <cfRule type="expression" dxfId="132" priority="9">
      <formula>$B$2="ISO Class 1"</formula>
    </cfRule>
  </conditionalFormatting>
  <conditionalFormatting sqref="B15:D20">
    <cfRule type="expression" dxfId="131" priority="8">
      <formula>$B$2="ISO Class 2"</formula>
    </cfRule>
  </conditionalFormatting>
  <conditionalFormatting sqref="B15:E20">
    <cfRule type="expression" dxfId="130" priority="7">
      <formula>$B$2="ISO Class 3"</formula>
    </cfRule>
  </conditionalFormatting>
  <conditionalFormatting sqref="B15:G20">
    <cfRule type="expression" dxfId="129" priority="4">
      <formula>$B$2="ISO Class 6"</formula>
    </cfRule>
  </conditionalFormatting>
  <conditionalFormatting sqref="E15:G20">
    <cfRule type="expression" dxfId="128" priority="1">
      <formula>$B$2="ISO Class 9"</formula>
    </cfRule>
    <cfRule type="expression" dxfId="127" priority="2">
      <formula>$B$2="ISO Class 8"</formula>
    </cfRule>
    <cfRule type="expression" dxfId="126" priority="3">
      <formula>$B$2="ISO Class 7"</formula>
    </cfRule>
  </conditionalFormatting>
  <conditionalFormatting sqref="B15:F20">
    <cfRule type="expression" dxfId="125" priority="5">
      <formula>$B$2="ISO Class 5"</formula>
    </cfRule>
    <cfRule type="expression" dxfId="124" priority="6">
      <formula>$B$2="ISO Class 4"</formula>
    </cfRule>
  </conditionalFormatting>
  <printOptions gridLine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umberTablesAndResize">
                <anchor moveWithCells="1" siz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B08F29-F24F-481E-98C7-B3664A41B2FC}">
          <x14:formula1>
            <xm:f>CalcData!$E$6:$E$14</xm:f>
          </x14:formula1>
          <xm:sqref>B2:C2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34EEB-B6C8-47A1-AAB4-50D0F496A18F}">
  <sheetPr codeName="Sheet10">
    <tabColor rgb="FF7030A0"/>
  </sheetPr>
  <dimension ref="A5:N33"/>
  <sheetViews>
    <sheetView topLeftCell="A4" zoomScale="108" workbookViewId="0">
      <selection activeCell="K19" sqref="K19"/>
    </sheetView>
  </sheetViews>
  <sheetFormatPr defaultRowHeight="15" x14ac:dyDescent="0.25"/>
  <cols>
    <col min="1" max="1" width="40" customWidth="1"/>
    <col min="2" max="2" width="25.85546875" customWidth="1"/>
    <col min="5" max="5" width="11.7109375" bestFit="1" customWidth="1"/>
    <col min="6" max="6" width="13.42578125" customWidth="1"/>
    <col min="7" max="7" width="9.85546875" customWidth="1"/>
    <col min="8" max="8" width="10.7109375" customWidth="1"/>
    <col min="9" max="9" width="10.28515625" customWidth="1"/>
    <col min="10" max="10" width="9.7109375" customWidth="1"/>
    <col min="13" max="13" width="10.42578125" customWidth="1"/>
    <col min="14" max="14" width="36.85546875" customWidth="1"/>
  </cols>
  <sheetData>
    <row r="5" spans="1:14" ht="60" x14ac:dyDescent="0.25">
      <c r="A5" s="43" t="s">
        <v>89</v>
      </c>
      <c r="B5" s="43" t="s">
        <v>88</v>
      </c>
      <c r="D5" s="19"/>
      <c r="E5" t="s">
        <v>87</v>
      </c>
      <c r="F5" s="109" t="s">
        <v>55</v>
      </c>
      <c r="G5" s="109" t="s">
        <v>54</v>
      </c>
      <c r="H5" s="109" t="s">
        <v>53</v>
      </c>
      <c r="I5" s="109" t="s">
        <v>52</v>
      </c>
      <c r="J5" s="109" t="s">
        <v>51</v>
      </c>
      <c r="K5" s="109" t="s">
        <v>50</v>
      </c>
    </row>
    <row r="6" spans="1:14" x14ac:dyDescent="0.25">
      <c r="A6" s="13" t="s">
        <v>86</v>
      </c>
      <c r="B6" s="13">
        <v>1</v>
      </c>
      <c r="D6" s="19"/>
      <c r="E6" s="21" t="s">
        <v>83</v>
      </c>
      <c r="F6">
        <v>10</v>
      </c>
      <c r="M6" t="s">
        <v>85</v>
      </c>
      <c r="N6" t="s">
        <v>84</v>
      </c>
    </row>
    <row r="7" spans="1:14" x14ac:dyDescent="0.25">
      <c r="A7" s="108">
        <v>4</v>
      </c>
      <c r="B7" s="13">
        <v>2</v>
      </c>
      <c r="D7" s="19"/>
      <c r="E7" s="21" t="s">
        <v>81</v>
      </c>
      <c r="F7">
        <v>100</v>
      </c>
      <c r="G7">
        <v>24</v>
      </c>
      <c r="H7">
        <v>10</v>
      </c>
      <c r="M7" t="s">
        <v>83</v>
      </c>
      <c r="N7" t="s">
        <v>82</v>
      </c>
    </row>
    <row r="8" spans="1:14" x14ac:dyDescent="0.25">
      <c r="A8" s="13">
        <v>6</v>
      </c>
      <c r="B8" s="13">
        <v>3</v>
      </c>
      <c r="D8" s="19"/>
      <c r="E8" s="21" t="s">
        <v>79</v>
      </c>
      <c r="F8">
        <v>1000</v>
      </c>
      <c r="G8">
        <v>237</v>
      </c>
      <c r="H8">
        <v>102</v>
      </c>
      <c r="I8">
        <v>35</v>
      </c>
      <c r="M8" t="s">
        <v>81</v>
      </c>
      <c r="N8" t="s">
        <v>80</v>
      </c>
    </row>
    <row r="9" spans="1:14" x14ac:dyDescent="0.25">
      <c r="A9" s="13">
        <v>8</v>
      </c>
      <c r="B9" s="13">
        <v>4</v>
      </c>
      <c r="E9" s="21" t="s">
        <v>77</v>
      </c>
      <c r="F9">
        <v>10000</v>
      </c>
      <c r="G9">
        <v>2370</v>
      </c>
      <c r="H9">
        <v>1020</v>
      </c>
      <c r="I9">
        <v>352</v>
      </c>
      <c r="J9">
        <v>83</v>
      </c>
      <c r="M9" t="s">
        <v>79</v>
      </c>
      <c r="N9" t="s">
        <v>78</v>
      </c>
    </row>
    <row r="10" spans="1:14" x14ac:dyDescent="0.25">
      <c r="A10" s="13">
        <v>10</v>
      </c>
      <c r="B10" s="13">
        <v>5</v>
      </c>
      <c r="E10" s="21" t="s">
        <v>76</v>
      </c>
      <c r="F10">
        <v>100000</v>
      </c>
      <c r="G10">
        <v>23700</v>
      </c>
      <c r="H10">
        <v>10200</v>
      </c>
      <c r="I10">
        <v>3520</v>
      </c>
      <c r="J10">
        <v>832</v>
      </c>
      <c r="M10" t="s">
        <v>77</v>
      </c>
      <c r="N10" t="s">
        <v>75</v>
      </c>
    </row>
    <row r="11" spans="1:14" x14ac:dyDescent="0.25">
      <c r="A11" s="13">
        <v>24</v>
      </c>
      <c r="B11" s="13">
        <v>6</v>
      </c>
      <c r="E11" s="21" t="s">
        <v>74</v>
      </c>
      <c r="F11">
        <v>1000000</v>
      </c>
      <c r="G11">
        <v>237000</v>
      </c>
      <c r="H11">
        <v>102000</v>
      </c>
      <c r="I11">
        <v>35200</v>
      </c>
      <c r="J11">
        <v>8320</v>
      </c>
      <c r="K11">
        <v>293</v>
      </c>
      <c r="M11" t="s">
        <v>76</v>
      </c>
      <c r="N11" t="s">
        <v>75</v>
      </c>
    </row>
    <row r="12" spans="1:14" x14ac:dyDescent="0.25">
      <c r="A12" s="13">
        <v>28</v>
      </c>
      <c r="B12" s="13">
        <v>7</v>
      </c>
      <c r="E12" s="21" t="s">
        <v>42</v>
      </c>
      <c r="I12">
        <v>352000</v>
      </c>
      <c r="J12">
        <v>83200</v>
      </c>
      <c r="K12">
        <v>2930</v>
      </c>
      <c r="M12" t="s">
        <v>74</v>
      </c>
      <c r="N12" t="s">
        <v>73</v>
      </c>
    </row>
    <row r="13" spans="1:14" x14ac:dyDescent="0.25">
      <c r="A13" s="13">
        <v>32</v>
      </c>
      <c r="B13" s="13">
        <v>8</v>
      </c>
      <c r="E13" s="21" t="s">
        <v>72</v>
      </c>
      <c r="I13">
        <v>3520000</v>
      </c>
      <c r="J13">
        <v>832000</v>
      </c>
      <c r="K13">
        <v>29300</v>
      </c>
      <c r="M13" t="s">
        <v>42</v>
      </c>
      <c r="N13" t="s">
        <v>70</v>
      </c>
    </row>
    <row r="14" spans="1:14" x14ac:dyDescent="0.25">
      <c r="A14" s="13">
        <v>36</v>
      </c>
      <c r="B14" s="13">
        <v>9</v>
      </c>
      <c r="E14" s="21" t="s">
        <v>71</v>
      </c>
      <c r="I14">
        <v>35200000</v>
      </c>
      <c r="J14">
        <v>8320000</v>
      </c>
      <c r="K14">
        <v>293000</v>
      </c>
      <c r="M14" t="s">
        <v>72</v>
      </c>
      <c r="N14" t="s">
        <v>70</v>
      </c>
    </row>
    <row r="15" spans="1:14" x14ac:dyDescent="0.25">
      <c r="A15" s="13">
        <v>52</v>
      </c>
      <c r="B15" s="13">
        <v>10</v>
      </c>
      <c r="M15" t="s">
        <v>71</v>
      </c>
      <c r="N15" t="s">
        <v>70</v>
      </c>
    </row>
    <row r="16" spans="1:14" x14ac:dyDescent="0.25">
      <c r="A16" s="13">
        <v>56</v>
      </c>
      <c r="B16" s="13">
        <v>11</v>
      </c>
    </row>
    <row r="17" spans="1:6" x14ac:dyDescent="0.25">
      <c r="A17" s="13">
        <v>64</v>
      </c>
      <c r="B17" s="13">
        <v>12</v>
      </c>
    </row>
    <row r="18" spans="1:6" x14ac:dyDescent="0.25">
      <c r="A18" s="13">
        <v>68</v>
      </c>
      <c r="B18" s="13">
        <v>13</v>
      </c>
    </row>
    <row r="19" spans="1:6" x14ac:dyDescent="0.25">
      <c r="A19" s="13">
        <v>72</v>
      </c>
      <c r="B19" s="13">
        <v>14</v>
      </c>
    </row>
    <row r="20" spans="1:6" x14ac:dyDescent="0.25">
      <c r="A20" s="13">
        <v>76</v>
      </c>
      <c r="B20" s="13">
        <v>15</v>
      </c>
      <c r="D20" s="21"/>
    </row>
    <row r="21" spans="1:6" x14ac:dyDescent="0.25">
      <c r="A21" s="13">
        <v>104</v>
      </c>
      <c r="B21" s="13">
        <v>16</v>
      </c>
      <c r="F21" s="58"/>
    </row>
    <row r="22" spans="1:6" x14ac:dyDescent="0.25">
      <c r="A22" s="13">
        <v>108</v>
      </c>
      <c r="B22" s="13">
        <v>17</v>
      </c>
    </row>
    <row r="23" spans="1:6" x14ac:dyDescent="0.25">
      <c r="A23" s="13">
        <v>116</v>
      </c>
      <c r="B23" s="13">
        <v>18</v>
      </c>
    </row>
    <row r="24" spans="1:6" x14ac:dyDescent="0.25">
      <c r="A24" s="13">
        <v>148</v>
      </c>
      <c r="B24" s="13">
        <v>19</v>
      </c>
    </row>
    <row r="25" spans="1:6" x14ac:dyDescent="0.25">
      <c r="A25" s="13">
        <v>156</v>
      </c>
      <c r="B25" s="13">
        <v>20</v>
      </c>
    </row>
    <row r="26" spans="1:6" x14ac:dyDescent="0.25">
      <c r="A26" s="13">
        <v>192</v>
      </c>
      <c r="B26" s="13">
        <v>21</v>
      </c>
    </row>
    <row r="27" spans="1:6" x14ac:dyDescent="0.25">
      <c r="A27" s="13">
        <v>232</v>
      </c>
      <c r="B27" s="13">
        <v>22</v>
      </c>
    </row>
    <row r="28" spans="1:6" x14ac:dyDescent="0.25">
      <c r="A28" s="13">
        <v>276</v>
      </c>
      <c r="B28" s="13">
        <v>23</v>
      </c>
    </row>
    <row r="29" spans="1:6" x14ac:dyDescent="0.25">
      <c r="A29" s="13">
        <v>352</v>
      </c>
      <c r="B29" s="13">
        <v>24</v>
      </c>
    </row>
    <row r="30" spans="1:6" x14ac:dyDescent="0.25">
      <c r="A30" s="13">
        <v>436</v>
      </c>
      <c r="B30" s="13">
        <v>25</v>
      </c>
    </row>
    <row r="31" spans="1:6" x14ac:dyDescent="0.25">
      <c r="A31" s="13">
        <v>636</v>
      </c>
      <c r="B31" s="13">
        <v>26</v>
      </c>
    </row>
    <row r="32" spans="1:6" x14ac:dyDescent="0.25">
      <c r="A32" s="13">
        <v>1000</v>
      </c>
      <c r="B32" s="13">
        <v>27</v>
      </c>
    </row>
    <row r="33" spans="1:2" x14ac:dyDescent="0.25">
      <c r="A33" s="13" t="s">
        <v>69</v>
      </c>
      <c r="B33" s="13" t="s">
        <v>68</v>
      </c>
    </row>
  </sheetData>
  <sheetProtection algorithmName="SHA-512" hashValue="y4AJ/RYEOx4gLgR9t5Z6DnqAF/Gyok6wXt+9tQjGQexCUoilhUUPgdzgQPhuuNs5NMYMZtN3cjS/JU3WRJpedA==" saltValue="nkcMKgJCf7u5npNBX3qfKg==" spinCount="100000" sheet="1" objects="1" scenarios="1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CleanroomData</vt:lpstr>
      <vt:lpstr>AirborneCounts</vt:lpstr>
      <vt:lpstr>CalcData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Thompson</dc:creator>
  <cp:lastModifiedBy>Paul Thompson</cp:lastModifiedBy>
  <dcterms:created xsi:type="dcterms:W3CDTF">2015-06-05T18:19:34Z</dcterms:created>
  <dcterms:modified xsi:type="dcterms:W3CDTF">2026-09-01T00:06:11Z</dcterms:modified>
</cp:coreProperties>
</file>